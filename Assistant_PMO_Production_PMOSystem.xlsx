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2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OME" sheetId="1" state="visible" r:id="rId1"/>
    <sheet name="01_EXECUTIVE_DASHBOARD" sheetId="2" state="visible" r:id="rId2"/>
    <sheet name="01B_PROJECT_DASHBOARD" sheetId="3" state="visible" r:id="rId3"/>
    <sheet name="02_PROJECT_PORTFOLIO" sheetId="4" state="visible" r:id="rId4"/>
    <sheet name="03_PROJECT_CHARTER" sheetId="5" state="visible" r:id="rId5"/>
    <sheet name="04_WBS_SCHEDULE" sheetId="6" state="visible" r:id="rId6"/>
    <sheet name="05_MILESTONES" sheetId="7" state="visible" r:id="rId7"/>
    <sheet name="06_RAID_LOG" sheetId="8" state="visible" r:id="rId8"/>
    <sheet name="07_ACTION_TRACKER" sheetId="9" state="visible" r:id="rId9"/>
    <sheet name="08_RACI_MATRIX" sheetId="10" state="visible" r:id="rId10"/>
    <sheet name="09_STAKEHOLDERS" sheetId="11" state="visible" r:id="rId11"/>
    <sheet name="10_CHANGE_CONTROL" sheetId="12" state="visible" r:id="rId12"/>
    <sheet name="11_COST_MANAGEMENT" sheetId="13" state="visible" r:id="rId13"/>
    <sheet name="12_RESOURCE_MANAGEMENT" sheetId="14" state="visible" r:id="rId14"/>
    <sheet name="13_PROCUREMENT" sheetId="15" state="visible" r:id="rId15"/>
    <sheet name="14_QUALITY_CONTROL" sheetId="16" state="visible" r:id="rId16"/>
    <sheet name="15_WEEKLY_STATUS" sheetId="17" state="visible" r:id="rId17"/>
    <sheet name="16_MEETING_MINUTES" sheetId="18" state="visible" r:id="rId18"/>
    <sheet name="17_DECISION_LOG" sheetId="19" state="visible" r:id="rId19"/>
    <sheet name="18_COMMUNICATION_PLAN" sheetId="20" state="visible" r:id="rId20"/>
    <sheet name="19_PROJECT_CLOSURE" sheetId="21" state="visible" r:id="rId21"/>
    <sheet name="20_LESSONS_LEARNED" sheetId="22" state="visible" r:id="rId22"/>
    <sheet name="21_PMOSOP" sheetId="23" state="visible" r:id="rId23"/>
    <sheet name="22_30_60_90_PLAN" sheetId="24" state="visible" r:id="rId24"/>
    <sheet name="23_SETTINGS" sheetId="25" state="visible" r:id="rId25"/>
    <sheet name="24_DATA_DICTIONARY" sheetId="26" state="visible" r:id="rId26"/>
  </sheets>
  <definedNames>
    <definedName name="L_Customers">'23_SETTINGS'!$H$9:$H$2788</definedName>
    <definedName name="L_Status">'23_SETTINGS'!$A$11:$A$15</definedName>
    <definedName name="L_RAG">'23_SETTINGS'!$B$11:$B$13</definedName>
    <definedName name="L_Priority">'23_SETTINGS'!$C$11:$C$14</definedName>
    <definedName name="L_HML">'23_SETTINGS'!$D$11:$D$13</definedName>
    <definedName name="L_Prob">'23_SETTINGS'!$E$11:$E$14</definedName>
    <definedName name="L_Impact">'23_SETTINGS'!$F$11:$F$14</definedName>
    <definedName name="L_RAIDType">'23_SETTINGS'!$A$18:$A$21</definedName>
    <definedName name="L_RAIDStatus">'23_SETTINGS'!$B$18:$B$20</definedName>
    <definedName name="L_RAIDCategory">'23_SETTINGS'!$C$18:$C$27</definedName>
    <definedName name="L_ActionStatus">'23_SETTINGS'!$D$18:$D$21</definedName>
    <definedName name="L_ChangeStatus">'23_SETTINGS'!$E$18:$E$20</definedName>
    <definedName name="L_ImplStatus">'23_SETTINGS'!$F$18:$F$21</definedName>
    <definedName name="L_MilestoneStatus">'23_SETTINGS'!$A$30:$A$34</definedName>
    <definedName name="L_TaskStatus">'23_SETTINGS'!$B$30:$B$33</definedName>
    <definedName name="L_Dept">'23_SETTINGS'!$C$30:$C$37</definedName>
    <definedName name="L_ProjType">'23_SETTINGS'!$D$30:$D$35</definedName>
    <definedName name="L_Owner">'23_SETTINGS'!$E$30:$E$37</definedName>
    <definedName name="L_Engagement">'23_SETTINGS'!$F$30:$F$34</definedName>
    <definedName name="L_Frequency">'23_SETTINGS'!$A$40:$A$46</definedName>
    <definedName name="L_YesNo">'23_SETTINGS'!$B$40:$B$41</definedName>
    <definedName name="L_RACI">'23_SETTINGS'!$C$40:$C$43</definedName>
    <definedName name="L_CostCategory">'23_SETTINGS'!$D$40:$D$47</definedName>
    <definedName name="L_ProcStatus">'23_SETTINGS'!$E$40:$E$45</definedName>
    <definedName name="L_QualityResult">'23_SETTINGS'!$F$40:$F$43</definedName>
    <definedName name="L_MeetingType">'23_SETTINGS'!$A$50:$A$55</definedName>
    <definedName name="L_DecisionStatus">'23_SETTINGS'!$B$50:$B$53</definedName>
    <definedName name="L_ClosureStatus">'23_SETTINGS'!$C$50:$C$53</definedName>
    <definedName name="L_LessonArea">'23_SETTINGS'!$D$50:$D$60</definedName>
    <definedName name="L_Channel">'23_SETTINGS'!$E$50:$E$55</definedName>
    <definedName name="L_Format">'23_SETTINGS'!$F$50:$F$54</definedName>
    <definedName name="L_FilterStatus">'23_SETTINGS'!$A$63:$A$68</definedName>
    <definedName name="L_FilterRAG">'23_SETTINGS'!$B$63:$B$66</definedName>
    <definedName name="L_FilterMgr">'23_SETTINGS'!$C$63:$C$71</definedName>
    <definedName name="L_Projects">'02_PROJECT_PORTFOLIO'!$C$5:$C$34</definedName>
    <definedName name="_xlnm.Print_Titles" localSheetId="0">'00_HOME'!$1:$3</definedName>
    <definedName name="_xlnm.Print_Area" localSheetId="0">'00_HOME'!$A$1:$L$26</definedName>
    <definedName name="_xlnm.Print_Titles" localSheetId="1">'01_EXECUTIVE_DASHBOARD'!$1:$3</definedName>
    <definedName name="_xlnm.Print_Area" localSheetId="1">'01_EXECUTIVE_DASHBOARD'!$A$1:$N$141</definedName>
    <definedName name="_xlnm.Print_Titles" localSheetId="2">'01B_PROJECT_DASHBOARD'!$1:$3</definedName>
    <definedName name="_xlnm.Print_Area" localSheetId="2">'01B_PROJECT_DASHBOARD'!$A$1:$N$81</definedName>
    <definedName name="_xlnm.Print_Titles" localSheetId="3">'02_PROJECT_PORTFOLIO'!$1:$4</definedName>
    <definedName name="_xlnm.Print_Area" localSheetId="3">'02_PROJECT_PORTFOLIO'!$A$1:$AC$34</definedName>
    <definedName name="_xlnm.Print_Titles" localSheetId="4">'03_PROJECT_CHARTER'!$1:$3</definedName>
    <definedName name="_xlnm.Print_Area" localSheetId="4">'03_PROJECT_CHARTER'!$A$1:$D$40</definedName>
    <definedName name="_xlnm.Print_Titles" localSheetId="5">'04_WBS_SCHEDULE'!$1:$4</definedName>
    <definedName name="_xlnm.Print_Area" localSheetId="5">'04_WBS_SCHEDULE'!$A$1:$AO$36</definedName>
    <definedName name="_xlnm.Print_Titles" localSheetId="6">'05_MILESTONES'!$1:$4</definedName>
    <definedName name="_xlnm.Print_Area" localSheetId="6">'05_MILESTONES'!$A$1:$N$34</definedName>
    <definedName name="_xlnm.Print_Titles" localSheetId="7">'06_RAID_LOG'!$1:$4</definedName>
    <definedName name="_xlnm.Print_Area" localSheetId="7">'06_RAID_LOG'!$A$1:$T$34</definedName>
    <definedName name="_xlnm.Print_Titles" localSheetId="8">'07_ACTION_TRACKER'!$1:$4</definedName>
    <definedName name="_xlnm.Print_Area" localSheetId="8">'07_ACTION_TRACKER'!$A$1:$P$34</definedName>
    <definedName name="_xlnm.Print_Titles" localSheetId="9">'08_RACI_MATRIX'!$1:$4</definedName>
    <definedName name="_xlnm.Print_Area" localSheetId="9">'08_RACI_MATRIX'!$A$1:$N$34</definedName>
    <definedName name="_xlnm.Print_Titles" localSheetId="10">'09_STAKEHOLDERS'!$1:$4</definedName>
    <definedName name="_xlnm.Print_Area" localSheetId="10">'09_STAKEHOLDERS'!$A$1:$M$44</definedName>
    <definedName name="_xlnm.Print_Titles" localSheetId="11">'10_CHANGE_CONTROL'!$1:$4</definedName>
    <definedName name="_xlnm.Print_Area" localSheetId="11">'10_CHANGE_CONTROL'!$A$1:$T$34</definedName>
    <definedName name="_xlnm.Print_Titles" localSheetId="12">'11_COST_MANAGEMENT'!$1:$4</definedName>
    <definedName name="_xlnm.Print_Area" localSheetId="12">'11_COST_MANAGEMENT'!$A$1:$M$50</definedName>
    <definedName name="_xlnm.Print_Titles" localSheetId="13">'12_RESOURCE_MANAGEMENT'!$1:$4</definedName>
    <definedName name="_xlnm.Print_Area" localSheetId="13">'12_RESOURCE_MANAGEMENT'!$A$1:$L$34</definedName>
    <definedName name="_xlnm.Print_Titles" localSheetId="14">'13_PROCUREMENT'!$1:$4</definedName>
    <definedName name="_xlnm.Print_Area" localSheetId="14">'13_PROCUREMENT'!$A$1:$P$34</definedName>
    <definedName name="_xlnm.Print_Titles" localSheetId="15">'14_QUALITY_CONTROL'!$1:$4</definedName>
    <definedName name="_xlnm.Print_Area" localSheetId="15">'14_QUALITY_CONTROL'!$A$1:$M$41</definedName>
    <definedName name="_xlnm.Print_Titles" localSheetId="16">'15_WEEKLY_STATUS'!$1:$3</definedName>
    <definedName name="_xlnm.Print_Area" localSheetId="16">'15_WEEKLY_STATUS'!$A$1:$H$39</definedName>
    <definedName name="_xlnm.Print_Titles" localSheetId="17">'16_MEETING_MINUTES'!$1:$4</definedName>
    <definedName name="_xlnm.Print_Area" localSheetId="17">'16_MEETING_MINUTES'!$A$1:$N$34</definedName>
    <definedName name="_xlnm.Print_Titles" localSheetId="18">'17_DECISION_LOG'!$1:$4</definedName>
    <definedName name="_xlnm.Print_Area" localSheetId="18">'17_DECISION_LOG'!$A$1:$N$34</definedName>
    <definedName name="_xlnm.Print_Titles" localSheetId="19">'18_COMMUNICATION_PLAN'!$1:$4</definedName>
    <definedName name="_xlnm.Print_Area" localSheetId="19">'18_COMMUNICATION_PLAN'!$A$1:$K$34</definedName>
    <definedName name="_xlnm.Print_Titles" localSheetId="20">'19_PROJECT_CLOSURE'!$1:$4</definedName>
    <definedName name="_xlnm.Print_Area" localSheetId="20">'19_PROJECT_CLOSURE'!$A$1:$I$41</definedName>
    <definedName name="_xlnm.Print_Titles" localSheetId="21">'20_LESSONS_LEARNED'!$1:$4</definedName>
    <definedName name="_xlnm.Print_Area" localSheetId="21">'20_LESSONS_LEARNED'!$A$1:$M$34</definedName>
    <definedName name="_xlnm.Print_Titles" localSheetId="22">'21_PMOSOP'!$1:$3</definedName>
    <definedName name="_xlnm.Print_Area" localSheetId="22">'21_PMOSOP'!$A$1:$E$36</definedName>
    <definedName name="_xlnm.Print_Titles" localSheetId="23">'22_30_60_90_PLAN'!$1:$4</definedName>
    <definedName name="_xlnm.Print_Area" localSheetId="23">'22_30_60_90_PLAN'!$A$1:$I$34</definedName>
    <definedName name="_xlnm.Print_Titles" localSheetId="24">'23_SETTINGS'!$1:$3</definedName>
    <definedName name="_xlnm.Print_Area" localSheetId="24">'23_SETTINGS'!$A$1:$F$73</definedName>
    <definedName name="_xlnm.Print_Titles" localSheetId="25">'24_DATA_DICTIONARY'!$1:$4</definedName>
    <definedName name="_xlnm.Print_Area" localSheetId="25">'24_DATA_DICTIONARY'!$A$1:$G$271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"/>
    <numFmt numFmtId="166" formatCode="dd-mmm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.5"/>
    </font>
    <font>
      <name val="Calibri"/>
      <i val="1"/>
      <color rgb="005B6B7B"/>
      <sz val="8.5"/>
    </font>
    <font>
      <name val="Calibri"/>
      <b val="1"/>
      <color rgb="00FFFFFF"/>
      <sz val="9.5"/>
    </font>
    <font>
      <name val="Calibri"/>
      <color rgb="001F2933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563C1"/>
      <sz val="9"/>
      <u val="single"/>
    </font>
    <font>
      <name val="Calibri"/>
      <b val="1"/>
      <color rgb="00FFFFFF"/>
      <sz val="9"/>
    </font>
    <font>
      <name val="Calibri"/>
      <b val="1"/>
      <color rgb="000F2A44"/>
      <sz val="9"/>
    </font>
    <font>
      <name val="Calibri"/>
      <color rgb="001F2933"/>
      <sz val="9.5"/>
    </font>
    <font>
      <name val="Calibri"/>
      <b val="1"/>
      <color rgb="000F2A44"/>
      <sz val="10"/>
    </font>
    <font>
      <name val="Calibri"/>
      <b val="1"/>
      <i val="1"/>
      <color rgb="001F4E79"/>
      <sz val="9"/>
    </font>
    <font>
      <name val="Calibri"/>
      <b val="1"/>
      <color rgb="00FFFFFF"/>
      <sz val="8.5"/>
    </font>
    <font>
      <name val="Calibri"/>
      <b val="1"/>
      <color rgb="000F2A44"/>
      <sz val="19"/>
    </font>
    <font>
      <name val="Calibri"/>
      <i val="1"/>
      <color rgb="005B6B7B"/>
      <sz val="8"/>
    </font>
    <font>
      <name val="Calibri"/>
      <color rgb="001F2933"/>
      <sz val="9"/>
    </font>
    <font>
      <name val="Calibri"/>
      <b val="1"/>
      <color rgb="001F2933"/>
      <sz val="9"/>
    </font>
    <font>
      <name val="Calibri"/>
      <b val="1"/>
      <color rgb="000F2A44"/>
      <sz val="12"/>
    </font>
    <font>
      <name val="Calibri"/>
      <b val="1"/>
      <color rgb="005B6B7B"/>
      <sz val="9"/>
    </font>
    <font>
      <name val="Calibri"/>
      <b val="1"/>
      <color rgb="005B6B7B"/>
      <sz val="8.5"/>
    </font>
    <font>
      <name val="Calibri"/>
      <b val="1"/>
      <color rgb="000F2A44"/>
      <sz val="9.5"/>
    </font>
    <font>
      <name val="Calibri"/>
      <b val="1"/>
      <color rgb="001F2933"/>
      <sz val="9.5"/>
    </font>
    <font>
      <name val="Calibri"/>
      <b val="1"/>
      <color rgb="000F2A44"/>
      <sz val="8"/>
    </font>
    <font>
      <name val="Calibri"/>
      <color rgb="001F2933"/>
      <sz val="8"/>
    </font>
    <font>
      <name val="Calibri"/>
      <b val="1"/>
      <color rgb="000F2A44"/>
      <sz val="15"/>
    </font>
    <font>
      <name val="Calibri"/>
      <b val="1"/>
      <color rgb="008A5A00"/>
      <sz val="17"/>
    </font>
    <font>
      <name val="Calibri"/>
      <b val="1"/>
      <color rgb="000F2A44"/>
      <sz val="17"/>
    </font>
    <font>
      <name val="Calibri"/>
      <b val="1"/>
      <color rgb="0017602A"/>
      <sz val="17"/>
    </font>
    <font>
      <name val="Calibri"/>
      <b val="1"/>
      <color rgb="003B4A59"/>
      <sz val="17"/>
    </font>
  </fonts>
  <fills count="11">
    <fill>
      <patternFill/>
    </fill>
    <fill>
      <patternFill patternType="gray125"/>
    </fill>
    <fill>
      <patternFill patternType="solid">
        <fgColor rgb="000F2A44"/>
      </patternFill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DCE9F5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4E9EF"/>
      </patternFill>
    </fill>
    <fill>
      <patternFill patternType="solid">
        <fgColor rgb="00FFF1CC"/>
      </patternFill>
    </fill>
    <fill>
      <patternFill patternType="solid">
        <fgColor rgb="00D9F0DC"/>
      </patternFill>
    </fill>
  </fills>
  <borders count="9">
    <border>
      <left/>
      <right/>
      <top/>
      <bottom/>
      <diagonal/>
    </border>
    <border>
      <bottom style="medium">
        <color rgb="002E75B6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bottom style="hair">
        <color rgb="00C7D2DC"/>
      </bottom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C7D2DC"/>
      </left>
      <right style="thin">
        <color rgb="00C7D2DC"/>
      </right>
      <top style="thin">
        <color rgb="00C7D2DC"/>
      </top>
      <bottom style="thin">
        <color rgb="00C7D2DC"/>
      </bottom>
    </border>
    <border>
      <left style="hair">
        <color rgb="00C7D2DC"/>
      </left>
      <right style="hair">
        <color rgb="00C7D2DC"/>
      </right>
      <top style="hair">
        <color rgb="00C7D2DC"/>
      </top>
      <bottom style="medium">
        <color rgb="002E75B6"/>
      </bottom>
    </border>
    <border>
      <left style="hair">
        <color rgb="00C7D2DC"/>
      </left>
      <right style="hair">
        <color rgb="00C7D2DC"/>
      </right>
      <top style="hair">
        <color rgb="00C7D2DC"/>
      </top>
      <bottom style="hair">
        <color rgb="00C7D2DC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7" fillId="3" borderId="0" applyAlignment="1" pivotButton="0" quotePrefix="0" xfId="0">
      <alignment horizontal="left" vertical="center" indent="1"/>
    </xf>
    <xf numFmtId="0" fontId="8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9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10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1" fillId="6" borderId="3" applyAlignment="1" pivotButton="0" quotePrefix="0" xfId="0">
      <alignment horizontal="left" vertical="center" indent="1"/>
    </xf>
    <xf numFmtId="0" fontId="0" fillId="6" borderId="3" pivotButton="0" quotePrefix="0" xfId="0"/>
    <xf numFmtId="0" fontId="11" fillId="4" borderId="3" applyAlignment="1" pivotButton="0" quotePrefix="0" xfId="0">
      <alignment horizontal="left" vertical="center" indent="1"/>
    </xf>
    <xf numFmtId="0" fontId="0" fillId="4" borderId="3" pivotButton="0" quotePrefix="0" xfId="0"/>
    <xf numFmtId="0" fontId="12" fillId="6" borderId="3" applyAlignment="1" pivotButton="0" quotePrefix="0" xfId="0">
      <alignment horizontal="left" vertical="center" indent="1"/>
    </xf>
    <xf numFmtId="0" fontId="12" fillId="4" borderId="3" applyAlignment="1" pivotButton="0" quotePrefix="0" xfId="0">
      <alignment horizontal="left" vertical="center" indent="1"/>
    </xf>
    <xf numFmtId="0" fontId="13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9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17" fillId="0" borderId="0" applyAlignment="1" pivotButton="0" quotePrefix="0" xfId="0">
      <alignment horizontal="left" vertical="center"/>
    </xf>
    <xf numFmtId="1" fontId="17" fillId="0" borderId="0" applyAlignment="1" pivotButton="0" quotePrefix="0" xfId="0">
      <alignment horizontal="left" vertical="center"/>
    </xf>
    <xf numFmtId="1" fontId="15" fillId="4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 wrapText="1"/>
    </xf>
    <xf numFmtId="3" fontId="15" fillId="4" borderId="2" applyAlignment="1" pivotButton="0" quotePrefix="0" xfId="0">
      <alignment horizontal="center" vertical="center"/>
    </xf>
    <xf numFmtId="0" fontId="4" fillId="7" borderId="4" applyAlignment="1" pivotButton="0" quotePrefix="0" xfId="0">
      <alignment horizontal="left" vertical="center" indent="1"/>
    </xf>
    <xf numFmtId="0" fontId="0" fillId="7" borderId="4" pivotButton="0" quotePrefix="0" xfId="0"/>
    <xf numFmtId="0" fontId="17" fillId="6" borderId="3" applyAlignment="1" pivotButton="0" quotePrefix="0" xfId="0">
      <alignment horizontal="left" vertical="center" indent="1"/>
    </xf>
    <xf numFmtId="0" fontId="17" fillId="4" borderId="3" applyAlignment="1" pivotButton="0" quotePrefix="0" xfId="0">
      <alignment horizontal="left" vertical="center" indent="1"/>
    </xf>
    <xf numFmtId="9" fontId="17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165" fontId="18" fillId="6" borderId="3" applyAlignment="1" pivotButton="0" quotePrefix="0" xfId="0">
      <alignment horizontal="center" vertical="center"/>
    </xf>
    <xf numFmtId="1" fontId="18" fillId="6" borderId="3" applyAlignment="1" pivotButton="0" quotePrefix="0" xfId="0">
      <alignment horizontal="center" vertical="center"/>
    </xf>
    <xf numFmtId="0" fontId="18" fillId="6" borderId="3" applyAlignment="1" pivotButton="0" quotePrefix="0" xfId="0">
      <alignment horizontal="center" vertical="center"/>
    </xf>
    <xf numFmtId="0" fontId="9" fillId="2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9" fontId="17" fillId="6" borderId="3" applyAlignment="1" pivotButton="0" quotePrefix="0" xfId="0">
      <alignment horizontal="center" vertical="center"/>
    </xf>
    <xf numFmtId="3" fontId="17" fillId="0" borderId="0" applyAlignment="1" pivotButton="0" quotePrefix="0" xfId="0">
      <alignment horizontal="left" vertical="center"/>
    </xf>
    <xf numFmtId="17" fontId="1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7" borderId="0" applyAlignment="1" pivotButton="0" quotePrefix="0" xfId="0">
      <alignment horizontal="right" vertical="center"/>
    </xf>
    <xf numFmtId="0" fontId="19" fillId="6" borderId="5" applyAlignment="1" pivotButton="0" quotePrefix="0" xfId="0">
      <alignment horizontal="left" vertical="center" indent="1"/>
    </xf>
    <xf numFmtId="0" fontId="0" fillId="6" borderId="5" pivotButton="0" quotePrefix="0" xfId="0"/>
    <xf numFmtId="0" fontId="2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5" fillId="4" borderId="2" applyAlignment="1" pivotButton="0" quotePrefix="0" xfId="0">
      <alignment horizontal="center" vertical="center"/>
    </xf>
    <xf numFmtId="9" fontId="15" fillId="4" borderId="2" applyAlignment="1" pivotButton="0" quotePrefix="0" xfId="0">
      <alignment horizontal="center" vertical="center"/>
    </xf>
    <xf numFmtId="165" fontId="15" fillId="4" borderId="2" applyAlignment="1" pivotButton="0" quotePrefix="0" xfId="0">
      <alignment horizontal="center" vertical="center"/>
    </xf>
    <xf numFmtId="0" fontId="21" fillId="4" borderId="3" applyAlignment="1" pivotButton="0" quotePrefix="0" xfId="0">
      <alignment horizontal="right" vertical="center"/>
    </xf>
    <xf numFmtId="1" fontId="12" fillId="6" borderId="3" applyAlignment="1" pivotButton="0" quotePrefix="0" xfId="0">
      <alignment horizontal="center" vertical="center"/>
    </xf>
    <xf numFmtId="3" fontId="12" fillId="6" borderId="3" applyAlignment="1" pivotButton="0" quotePrefix="0" xfId="0">
      <alignment horizontal="center" vertical="center"/>
    </xf>
    <xf numFmtId="9" fontId="12" fillId="6" borderId="3" applyAlignment="1" pivotButton="0" quotePrefix="0" xfId="0">
      <alignment horizontal="center" vertical="center"/>
    </xf>
    <xf numFmtId="165" fontId="12" fillId="6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9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" fontId="5" fillId="0" borderId="0" applyAlignment="1" pivotButton="0" quotePrefix="0" xfId="0">
      <alignment horizontal="right" vertical="center"/>
    </xf>
    <xf numFmtId="49" fontId="5" fillId="0" borderId="0" applyAlignment="1" pivotButton="0" quotePrefix="0" xfId="0">
      <alignment horizontal="left" vertical="top" wrapText="1"/>
    </xf>
    <xf numFmtId="0" fontId="10" fillId="8" borderId="3" applyAlignment="1" pivotButton="0" quotePrefix="0" xfId="0">
      <alignment horizontal="right" vertical="center"/>
    </xf>
    <xf numFmtId="165" fontId="12" fillId="4" borderId="3" applyAlignment="1" pivotButton="0" quotePrefix="0" xfId="0">
      <alignment horizontal="left" vertical="center" indent="1"/>
    </xf>
    <xf numFmtId="3" fontId="12" fillId="4" borderId="3" applyAlignment="1" pivotButton="0" quotePrefix="0" xfId="0">
      <alignment horizontal="left" vertical="center" indent="1"/>
    </xf>
    <xf numFmtId="0" fontId="5" fillId="6" borderId="6" applyAlignment="1" pivotButton="0" quotePrefix="0" xfId="0">
      <alignment horizontal="left" vertical="top" wrapText="1" indent="1"/>
    </xf>
    <xf numFmtId="0" fontId="0" fillId="6" borderId="6" pivotButton="0" quotePrefix="0" xfId="0"/>
    <xf numFmtId="165" fontId="5" fillId="6" borderId="6" applyAlignment="1" pivotButton="0" quotePrefix="0" xfId="0">
      <alignment horizontal="left" vertical="top" wrapText="1" indent="1"/>
    </xf>
    <xf numFmtId="166" fontId="24" fillId="5" borderId="7" applyAlignment="1" pivotButton="0" quotePrefix="0" xfId="0">
      <alignment horizontal="center" vertical="bottom" textRotation="90"/>
    </xf>
    <xf numFmtId="0" fontId="25" fillId="6" borderId="8" applyAlignment="1" pivotButton="0" quotePrefix="0" xfId="0">
      <alignment horizontal="center" vertical="center"/>
    </xf>
    <xf numFmtId="0" fontId="14" fillId="7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1" fontId="27" fillId="9" borderId="2" applyAlignment="1" pivotButton="0" quotePrefix="0" xfId="0">
      <alignment horizontal="center" vertical="center"/>
    </xf>
    <xf numFmtId="0" fontId="0" fillId="9" borderId="2" pivotButton="0" quotePrefix="0" xfId="0"/>
    <xf numFmtId="1" fontId="28" fillId="4" borderId="2" applyAlignment="1" pivotButton="0" quotePrefix="0" xfId="0">
      <alignment horizontal="center" vertical="center"/>
    </xf>
    <xf numFmtId="1" fontId="29" fillId="10" borderId="2" applyAlignment="1" pivotButton="0" quotePrefix="0" xfId="0">
      <alignment horizontal="center" vertical="center"/>
    </xf>
    <xf numFmtId="0" fontId="0" fillId="10" borderId="2" pivotButton="0" quotePrefix="0" xfId="0"/>
    <xf numFmtId="1" fontId="30" fillId="8" borderId="2" applyAlignment="1" pivotButton="0" quotePrefix="0" xfId="0">
      <alignment horizontal="center" vertical="center"/>
    </xf>
    <xf numFmtId="0" fontId="0" fillId="8" borderId="2" pivotButton="0" quotePrefix="0" xfId="0"/>
    <xf numFmtId="3" fontId="26" fillId="4" borderId="2" applyAlignment="1" pivotButton="0" quotePrefix="0" xfId="0">
      <alignment horizontal="center" vertical="center"/>
    </xf>
    <xf numFmtId="9" fontId="26" fillId="4" borderId="2" applyAlignment="1" pivotButton="0" quotePrefix="0" xfId="0">
      <alignment horizontal="center" vertical="center"/>
    </xf>
    <xf numFmtId="0" fontId="26" fillId="4" borderId="2" applyAlignment="1" pivotButton="0" quotePrefix="0" xfId="0">
      <alignment horizontal="center" vertical="center"/>
    </xf>
    <xf numFmtId="1" fontId="26" fillId="4" borderId="2" applyAlignment="1" pivotButton="0" quotePrefix="0" xfId="0">
      <alignment horizontal="center" vertical="center"/>
    </xf>
    <xf numFmtId="165" fontId="12" fillId="6" borderId="3" applyAlignment="1" pivotButton="0" quotePrefix="0" xfId="0">
      <alignment horizontal="left" vertical="center" indent="1"/>
    </xf>
    <xf numFmtId="9" fontId="12" fillId="6" borderId="3" applyAlignment="1" pivotButton="0" quotePrefix="0" xfId="0">
      <alignment horizontal="left" vertical="center" indent="1"/>
    </xf>
    <xf numFmtId="0" fontId="4" fillId="7" borderId="0" applyAlignment="1" pivotButton="0" quotePrefix="0" xfId="0">
      <alignment horizontal="left" vertical="center" indent="1"/>
    </xf>
    <xf numFmtId="0" fontId="22" fillId="4" borderId="3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left" vertical="top" wrapText="1" indent="1"/>
    </xf>
    <xf numFmtId="0" fontId="11" fillId="0" borderId="0" applyAlignment="1" pivotButton="0" quotePrefix="0" xfId="0">
      <alignment horizontal="left" vertical="top" wrapText="1" indent="1"/>
    </xf>
    <xf numFmtId="0" fontId="20" fillId="4" borderId="6" applyAlignment="1" pivotButton="0" quotePrefix="0" xfId="0">
      <alignment horizontal="right" vertical="center"/>
    </xf>
    <xf numFmtId="165" fontId="12" fillId="6" borderId="6" applyAlignment="1" pivotButton="0" quotePrefix="0" xfId="0">
      <alignment horizontal="center" vertical="center"/>
    </xf>
    <xf numFmtId="1" fontId="12" fillId="6" borderId="6" applyAlignment="1" pivotButton="0" quotePrefix="0" xfId="0">
      <alignment horizontal="center" vertical="center"/>
    </xf>
    <xf numFmtId="165" fontId="12" fillId="4" borderId="6" applyAlignment="1" pivotButton="0" quotePrefix="0" xfId="0">
      <alignment horizontal="center" vertical="center"/>
    </xf>
    <xf numFmtId="0" fontId="12" fillId="6" borderId="6" applyAlignment="1" pivotButton="0" quotePrefix="0" xfId="0">
      <alignment horizontal="center" vertical="center"/>
    </xf>
    <xf numFmtId="0" fontId="12" fillId="4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left" vertical="center" indent="1"/>
    </xf>
    <xf numFmtId="0" fontId="17" fillId="4" borderId="6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16">
    <dxf>
      <font>
        <name val="Calibri"/>
        <b val="1"/>
        <color rgb="008A5A00"/>
        <sz val="19"/>
      </font>
      <fill>
        <patternFill patternType="solid">
          <fgColor rgb="00FFF1CC"/>
        </patternFill>
      </fill>
    </dxf>
    <dxf>
      <font>
        <name val="Calibri"/>
        <b val="1"/>
        <color rgb="0017602A"/>
        <sz val="19"/>
      </font>
      <fill>
        <patternFill patternType="solid">
          <fgColor rgb="00D9F0DC"/>
        </patternFill>
      </fill>
    </dxf>
    <dxf>
      <font>
        <name val="Calibri"/>
        <b val="1"/>
        <color rgb="0096201D"/>
        <sz val="19"/>
      </font>
      <fill>
        <patternFill patternType="solid">
          <fgColor rgb="00FBDAD7"/>
        </patternFill>
      </fill>
    </dxf>
    <dxf>
      <font>
        <name val="Calibri"/>
        <b val="1"/>
        <color rgb="0017602A"/>
        <sz val="10"/>
      </font>
      <fill>
        <patternFill patternType="solid">
          <fgColor rgb="00D9F0DC"/>
        </patternFill>
      </fill>
    </dxf>
    <dxf>
      <font>
        <name val="Calibri"/>
        <b val="1"/>
        <color rgb="008A5A00"/>
        <sz val="10"/>
      </font>
      <fill>
        <patternFill patternType="solid">
          <fgColor rgb="00FFF1CC"/>
        </patternFill>
      </fill>
    </dxf>
    <dxf>
      <font>
        <name val="Calibri"/>
        <b val="1"/>
        <color rgb="0096201D"/>
        <sz val="10"/>
      </font>
      <fill>
        <patternFill patternType="solid">
          <fgColor rgb="00FBDAD7"/>
        </patternFill>
      </fill>
    </dxf>
    <dxf>
      <font>
        <name val="Calibri"/>
        <b val="1"/>
        <color rgb="0096201D"/>
        <sz val="9"/>
      </font>
      <fill>
        <patternFill patternType="solid">
          <fgColor rgb="00FBDAD7"/>
        </patternFill>
      </fill>
    </dxf>
    <dxf>
      <font>
        <name val="Calibri"/>
        <b val="1"/>
        <color rgb="008A5A00"/>
        <sz val="9"/>
      </font>
      <fill>
        <patternFill patternType="solid">
          <fgColor rgb="00FFF1CC"/>
        </patternFill>
      </fill>
    </dxf>
    <dxf>
      <font>
        <name val="Calibri"/>
        <b val="1"/>
        <color rgb="003B4A59"/>
        <sz val="10"/>
      </font>
      <fill>
        <patternFill patternType="solid">
          <fgColor rgb="00E4E9EF"/>
        </patternFill>
      </fill>
    </dxf>
    <dxf>
      <font>
        <name val="Calibri"/>
        <color rgb="00FFFFFF"/>
        <sz val="10"/>
      </font>
      <fill>
        <patternFill patternType="solid">
          <fgColor rgb="001F4E79"/>
        </patternFill>
      </fill>
    </dxf>
    <dxf>
      <font>
        <name val="Calibri"/>
        <color rgb="00FFFFFF"/>
        <sz val="10"/>
      </font>
      <fill>
        <patternFill patternType="solid">
          <fgColor rgb="002E75B6"/>
        </patternFill>
      </fill>
    </dxf>
    <dxf>
      <font>
        <name val="Calibri"/>
        <color rgb="0096201D"/>
        <sz val="10"/>
      </font>
      <fill>
        <patternFill patternType="solid">
          <fgColor rgb="00FBDAD7"/>
        </patternFill>
      </fill>
    </dxf>
    <dxf>
      <font>
        <name val="Calibri"/>
        <color rgb="003B4A59"/>
        <sz val="10"/>
      </font>
      <fill>
        <patternFill patternType="solid">
          <fgColor rgb="00E4E9EF"/>
        </patternFill>
      </fill>
    </dxf>
    <dxf>
      <font>
        <name val="Calibri"/>
        <b val="1"/>
        <color rgb="006B1512"/>
        <sz val="10"/>
      </font>
      <fill>
        <patternFill patternType="solid">
          <fgColor rgb="00E8A0A0"/>
        </patternFill>
      </fill>
    </dxf>
    <dxf>
      <font>
        <name val="Calibri"/>
        <b val="1"/>
        <color rgb="001F4E79"/>
        <sz val="10"/>
      </font>
      <fill>
        <patternFill patternType="solid">
          <fgColor rgb="00DCE9F5"/>
        </patternFill>
      </fill>
    </dxf>
    <dxf>
      <font>
        <name val="Calibri"/>
        <b val="1"/>
        <color rgb="000F2A44"/>
        <sz val="10"/>
      </font>
      <fill>
        <patternFill patternType="solid">
          <fgColor rgb="00F2F7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PROJECT STATUS</a:t>
            </a:r>
          </a:p>
        </rich>
      </tx>
    </title>
    <plotArea>
      <doughnutChart>
        <varyColors val="1"/>
        <ser>
          <idx val="0"/>
          <order val="0"/>
          <tx>
            <strRef>
              <f>'01_EXECUTIVE_DASHBOARD'!Q4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9AA7B4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E75B6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E8A33D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2E7D32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C0392B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cat>
            <numRef>
              <f>'01_EXECUTIVE_DASHBOARD'!$P$5:$P$9</f>
            </numRef>
          </cat>
          <val>
            <numRef>
              <f>'01_EXECUTIVE_DASHBOARD'!$Q$5:$Q$9</f>
            </numRef>
          </val>
        </ser>
        <dLbls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PROJECT RAG</a:t>
            </a:r>
          </a:p>
        </rich>
      </tx>
    </title>
    <plotArea>
      <doughnutChart>
        <varyColors val="1"/>
        <ser>
          <idx val="0"/>
          <order val="0"/>
          <tx>
            <strRef>
              <f>'01_EXECUTIVE_DASHBOARD'!Q12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D32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E8A33D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C0392B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cat>
            <numRef>
              <f>'01_EXECUTIVE_DASHBOARD'!$P$13:$P$15</f>
            </numRef>
          </cat>
          <val>
            <numRef>
              <f>'01_EXECUTIVE_DASHBOARD'!$Q$13:$Q$15</f>
            </numRef>
          </val>
        </ser>
        <dLbls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PROJECT COMPLETION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'01_EXECUTIVE_DASHBOARD'!Q18</f>
            </strRef>
          </tx>
          <spPr>
            <a:solidFill>
              <a:srgbClr val="2E75B6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'01_EXECUTIVE_DASHBOARD'!$P$19:$P$28</f>
            </numRef>
          </cat>
          <val>
            <numRef>
              <f>'01_EXECUTIVE_DASHBOARD'!$Q$19:$Q$28</f>
            </numRef>
          </val>
        </ser>
        <dLbls>
          <numFmt formatCode="0%"/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PLANNED vs ACTUAL PROGRESS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'01_EXECUTIVE_DASHBOARD'!Q31</f>
            </strRef>
          </tx>
          <spPr>
            <a:solidFill>
              <a:srgbClr val="B7C3CF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'01_EXECUTIVE_DASHBOARD'!$P$32:$P$41</f>
            </numRef>
          </cat>
          <val>
            <numRef>
              <f>'01_EXECUTIVE_DASHBOARD'!$Q$32:$Q$41</f>
            </numRef>
          </val>
        </ser>
        <ser>
          <idx val="1"/>
          <order val="1"/>
          <tx>
            <strRef>
              <f>'01_EXECUTIVE_DASHBOARD'!R31</f>
            </strRef>
          </tx>
          <spPr>
            <a:solidFill>
              <a:srgbClr val="2E75B6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'01_EXECUTIVE_DASHBOARD'!$P$32:$P$41</f>
            </numRef>
          </cat>
          <val>
            <numRef>
              <f>'01_EXECUTIVE_DASHBOARD'!$R$32:$R$41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APPROVED vs ACTUAL vs FORECAST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'01_EXECUTIVE_DASHBOARD'!Q44</f>
            </strRef>
          </tx>
          <spPr>
            <a:solidFill>
              <a:srgbClr val="2E75B6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'01_EXECUTIVE_DASHBOARD'!$P$45:$P$54</f>
            </numRef>
          </cat>
          <val>
            <numRef>
              <f>'01_EXECUTIVE_DASHBOARD'!$Q$45:$Q$54</f>
            </numRef>
          </val>
        </ser>
        <ser>
          <idx val="1"/>
          <order val="1"/>
          <tx>
            <strRef>
              <f>'01_EXECUTIVE_DASHBOARD'!R44</f>
            </strRef>
          </tx>
          <spPr>
            <a:solidFill>
              <a:srgbClr val="2E7D32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'01_EXECUTIVE_DASHBOARD'!$P$45:$P$54</f>
            </numRef>
          </cat>
          <val>
            <numRef>
              <f>'01_EXECUTIVE_DASHBOARD'!$R$45:$R$54</f>
            </numRef>
          </val>
        </ser>
        <ser>
          <idx val="2"/>
          <order val="2"/>
          <tx>
            <strRef>
              <f>'01_EXECUTIVE_DASHBOARD'!S44</f>
            </strRef>
          </tx>
          <spPr>
            <a:solidFill>
              <a:srgbClr val="C0392B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'01_EXECUTIVE_DASHBOARD'!$P$45:$P$54</f>
            </numRef>
          </cat>
          <val>
            <numRef>
              <f>'01_EXECUTIVE_DASHBOARD'!$S$45:$S$54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MILESTONES DELIVERED PER MONTH</a:t>
            </a:r>
          </a:p>
        </rich>
      </tx>
    </title>
    <plotArea>
      <lineChart>
        <grouping val="standard"/>
        <ser>
          <idx val="0"/>
          <order val="0"/>
          <tx>
            <strRef>
              <f>'01_EXECUTIVE_DASHBOARD'!R57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6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'01_EXECUTIVE_DASHBOARD'!$P$58:$P$63</f>
            </numRef>
          </cat>
          <val>
            <numRef>
              <f>'01_EXECUTIVE_DASHBOARD'!$R$58:$R$63</f>
            </numRef>
          </val>
          <smooth val="0"/>
        </ser>
        <ser>
          <idx val="1"/>
          <order val="1"/>
          <tx>
            <strRef>
              <f>'01_EXECUTIVE_DASHBOARD'!S57</f>
            </strRef>
          </tx>
          <spPr>
            <a:ln w="22000">
              <a:solidFill>
                <a:srgbClr val="2E7D32"/>
              </a:solidFill>
              <a:prstDash val="solid"/>
            </a:ln>
          </spPr>
          <marker>
            <symbol val="circle"/>
            <size val="6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cat>
            <numRef>
              <f>'01_EXECUTIVE_DASHBOARD'!$P$58:$P$63</f>
            </numRef>
          </cat>
          <val>
            <numRef>
              <f>'01_EXECUTIVE_DASHBOARD'!$S$58:$S$63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OPEN RISKS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'01_EXECUTIVE_DASHBOARD'!Q66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D32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E8A33D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C0392B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8E2C22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cat>
            <numRef>
              <f>'01_EXECUTIVE_DASHBOARD'!$P$67:$P$70</f>
            </numRef>
          </cat>
          <val>
            <numRef>
              <f>'01_EXECUTIVE_DASHBOARD'!$Q$67:$Q$70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ISSUES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'01_EXECUTIVE_DASHBOARD'!Q73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E8A33D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E75B6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2E7D32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cat>
            <numRef>
              <f>'01_EXECUTIVE_DASHBOARD'!$P$74:$P$76</f>
            </numRef>
          </cat>
          <val>
            <numRef>
              <f>'01_EXECUTIVE_DASHBOARD'!$Q$74:$Q$76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OVERDUE ACTIONS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'01_EXECUTIVE_DASHBOARD'!Q79</f>
            </strRef>
          </tx>
          <spPr>
            <a:solidFill>
              <a:srgbClr val="C0392B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'01_EXECUTIVE_DASHBOARD'!$P$80:$P$87</f>
            </numRef>
          </cat>
          <val>
            <numRef>
              <f>'01_EXECUTIVE_DASHBOARD'!$Q$80:$Q$87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MILESTONES DUE - NEXT 30 DAYS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'01_EXECUTIVE_DASHBOARD'!Q90</f>
            </strRef>
          </tx>
          <spPr>
            <a:solidFill>
              <a:srgbClr val="2E75B6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'01_EXECUTIVE_DASHBOARD'!$P$91:$P$93</f>
            </numRef>
          </cat>
          <val>
            <numRef>
              <f>'01_EXECUTIVE_DASHBOARD'!$Q$91:$Q$93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TASK STATUS</a:t>
            </a:r>
          </a:p>
        </rich>
      </tx>
    </title>
    <plotArea>
      <doughnutChart>
        <varyColors val="1"/>
        <ser>
          <idx val="0"/>
          <order val="0"/>
          <tx>
            <strRef>
              <f>'01B_PROJECT_DASHBOARD'!Q4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9AA7B4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E8A33D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2E7D32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C0392B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cat>
            <numRef>
              <f>'01B_PROJECT_DASHBOARD'!$P$5:$P$8</f>
            </numRef>
          </cat>
          <val>
            <numRef>
              <f>'01B_PROJECT_DASHBOARD'!$Q$5:$Q$8</f>
            </numRef>
          </val>
        </ser>
        <dLbls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TASKS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'01B_PROJECT_DASHBOARD'!Q11</f>
            </strRef>
          </tx>
          <spPr>
            <a:solidFill>
              <a:srgbClr val="2E75B6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'01B_PROJECT_DASHBOARD'!$P$12:$P$19</f>
            </numRef>
          </cat>
          <val>
            <numRef>
              <f>'01B_PROJECT_DASHBOARD'!$Q$12:$Q$19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OPEN RAID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'01B_PROJECT_DASHBOARD'!Q22</f>
            </strRef>
          </tx>
          <spPr>
            <a:solidFill>
              <a:srgbClr val="C0392B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'01B_PROJECT_DASHBOARD'!$P$23:$P$26</f>
            </numRef>
          </cat>
          <val>
            <numRef>
              <f>'01B_PROJECT_DASHBOARD'!$Q$23:$Q$26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COST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'01B_PROJECT_DASHBOARD'!Q29</f>
            </strRef>
          </tx>
          <spPr>
            <a:solidFill>
              <a:srgbClr val="2E75B6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'01B_PROJECT_DASHBOARD'!$P$30:$P$37</f>
            </numRef>
          </cat>
          <val>
            <numRef>
              <f>'01B_PROJECT_DASHBOARD'!$Q$30:$Q$37</f>
            </numRef>
          </val>
        </ser>
        <ser>
          <idx val="1"/>
          <order val="1"/>
          <tx>
            <strRef>
              <f>'01B_PROJECT_DASHBOARD'!R29</f>
            </strRef>
          </tx>
          <spPr>
            <a:solidFill>
              <a:srgbClr val="2E7D32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'01B_PROJECT_DASHBOARD'!$P$30:$P$37</f>
            </numRef>
          </cat>
          <val>
            <numRef>
              <f>'01B_PROJECT_DASHBOARD'!$R$30:$R$37</f>
            </numRef>
          </val>
        </ser>
        <ser>
          <idx val="2"/>
          <order val="2"/>
          <tx>
            <strRef>
              <f>'01B_PROJECT_DASHBOARD'!S29</f>
            </strRef>
          </tx>
          <spPr>
            <a:solidFill>
              <a:srgbClr val="C0392B"/>
            </a:solidFill>
            <a:ln w="12700">
              <a:solidFill>
                <a:srgbClr val="FFFFFF"/>
              </a:solidFill>
              <a:prstDash val="solid"/>
            </a:ln>
          </spPr>
          <cat>
            <numRef>
              <f>'01B_PROJECT_DASHBOARD'!$P$30:$P$37</f>
            </numRef>
          </cat>
          <val>
            <numRef>
              <f>'01B_PROJECT_DASHBOARD'!$S$30:$S$37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MILESTONE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'01B_PROJECT_DASHBOARD'!Q40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9AA7B4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E8A33D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2E7D32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C0392B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B7C3CF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cat>
            <numRef>
              <f>'01B_PROJECT_DASHBOARD'!$P$41:$P$45</f>
            </numRef>
          </cat>
          <val>
            <numRef>
              <f>'01B_PROJECT_DASHBOARD'!$Q$41:$Q$45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200" b="1">
                <a:solidFill>
                  <a:srgbClr val="1F4E79"/>
                </a:solidFill>
              </a:defRPr>
            </a:pPr>
            <a:r>
              <a:t>ACTION STATUS</a:t>
            </a:r>
          </a:p>
        </rich>
      </tx>
    </title>
    <plotArea>
      <doughnutChart>
        <varyColors val="1"/>
        <ser>
          <idx val="0"/>
          <order val="0"/>
          <tx>
            <strRef>
              <f>'01B_PROJECT_DASHBOARD'!Q48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9AA7B4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E8A33D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2E7D32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B7C3CF"/>
              </a:solidFill>
              <a:ln w="12700">
                <a:solidFill>
                  <a:srgbClr val="FFFFFF"/>
                </a:solidFill>
                <a:prstDash val="solid"/>
              </a:ln>
            </spPr>
          </dPt>
          <cat>
            <numRef>
              <f>'01B_PROJECT_DASHBOARD'!$P$49:$P$52</f>
            </numRef>
          </cat>
          <val>
            <numRef>
              <f>'01B_PROJECT_DASHBOARD'!$Q$49:$Q$52</f>
            </numRef>
          </val>
        </ser>
        <dLbls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60</row>
      <rowOff>0</rowOff>
    </from>
    <ext cx="6300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60</row>
      <rowOff>0</rowOff>
    </from>
    <ext cx="6300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76</row>
      <rowOff>0</rowOff>
    </from>
    <ext cx="6300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76</row>
      <rowOff>0</rowOff>
    </from>
    <ext cx="6300000" cy="273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92</row>
      <rowOff>0</rowOff>
    </from>
    <ext cx="6300000" cy="273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92</row>
      <rowOff>0</rowOff>
    </from>
    <ext cx="6300000" cy="2736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108</row>
      <rowOff>0</rowOff>
    </from>
    <ext cx="6300000" cy="2736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108</row>
      <rowOff>0</rowOff>
    </from>
    <ext cx="6300000" cy="2736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124</row>
      <rowOff>0</rowOff>
    </from>
    <ext cx="6300000" cy="2736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7</col>
      <colOff>0</colOff>
      <row>124</row>
      <rowOff>0</rowOff>
    </from>
    <ext cx="6300000" cy="2736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300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33</row>
      <rowOff>0</rowOff>
    </from>
    <ext cx="6300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49</row>
      <rowOff>0</rowOff>
    </from>
    <ext cx="6300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49</row>
      <rowOff>0</rowOff>
    </from>
    <ext cx="6300000" cy="273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65</row>
      <rowOff>0</rowOff>
    </from>
    <ext cx="6300000" cy="273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65</row>
      <rowOff>0</rowOff>
    </from>
    <ext cx="6300000" cy="2736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jects" displayName="tblProjects" ref="A4:AC34" headerRowCount="1">
  <autoFilter ref="A4:AC34"/>
  <tableColumns count="29">
    <tableColumn id="1" name="Project ID"/>
    <tableColumn id="2" name="Customer"/>
    <tableColumn id="3" name="Project Name"/>
    <tableColumn id="4" name="Project Manager"/>
    <tableColumn id="5" name="Department"/>
    <tableColumn id="6" name="Project Type"/>
    <tableColumn id="7" name="Priority"/>
    <tableColumn id="8" name="Start Date"/>
    <tableColumn id="9" name="Baseline End Date"/>
    <tableColumn id="10" name="Forecast End Date"/>
    <tableColumn id="11" name="Actual End Date"/>
    <tableColumn id="12" name="% Complete"/>
    <tableColumn id="13" name="Status"/>
    <tableColumn id="14" name="RAG"/>
    <tableColumn id="15" name="Total Approved Amount"/>
    <tableColumn id="16" name="Actual Cost"/>
    <tableColumn id="17" name="Forecast Cost"/>
    <tableColumn id="18" name="Schedule Variance"/>
    <tableColumn id="19" name="Cost Variance"/>
    <tableColumn id="20" name="Next Milestone"/>
    <tableColumn id="21" name="Milestone Date"/>
    <tableColumn id="22" name="Project Health"/>
    <tableColumn id="23" name="Last Updated"/>
    <tableColumn id="24" name="Notes"/>
    <tableColumn id="25" name="ChartIdx"/>
    <tableColumn id="26" name="RedRank"/>
    <tableColumn id="27" name="ViewRank"/>
    <tableColumn id="28" name="Timeline"/>
    <tableColumn id="29" name="Budget/Act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WBS" displayName="tblWBS" ref="A4:Q34" headerRowCount="1">
  <autoFilter ref="A4:Q34"/>
  <tableColumns count="17">
    <tableColumn id="1" name="WBS ID"/>
    <tableColumn id="2" name="Project"/>
    <tableColumn id="3" name="Phase"/>
    <tableColumn id="4" name="Task"/>
    <tableColumn id="5" name="Deliverable"/>
    <tableColumn id="6" name="Owner"/>
    <tableColumn id="7" name="Dependency"/>
    <tableColumn id="8" name="Start Date"/>
    <tableColumn id="9" name="Finish Date"/>
    <tableColumn id="10" name="Baseline Start"/>
    <tableColumn id="11" name="Baseline Finish"/>
    <tableColumn id="12" name="Duration"/>
    <tableColumn id="13" name="% Complete"/>
    <tableColumn id="14" name="Status"/>
    <tableColumn id="15" name="Variance"/>
    <tableColumn id="16" name="Milestone"/>
    <tableColumn id="1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Milestones" displayName="tblMilestones" ref="A4:N34" headerRowCount="1">
  <autoFilter ref="A4:N34"/>
  <tableColumns count="14">
    <tableColumn id="1" name="Milestone ID"/>
    <tableColumn id="2" name="Project"/>
    <tableColumn id="3" name="Milestone"/>
    <tableColumn id="4" name="Owner"/>
    <tableColumn id="5" name="Baseline Date"/>
    <tableColumn id="6" name="Forecast Date"/>
    <tableColumn id="7" name="Actual Date"/>
    <tableColumn id="8" name="Status"/>
    <tableColumn id="9" name="Days Remaining"/>
    <tableColumn id="10" name="Variance"/>
    <tableColumn id="11" name="RAG"/>
    <tableColumn id="12" name="Notes"/>
    <tableColumn id="13" name="Key"/>
    <tableColumn id="14" name="Proj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AID" displayName="tblRAID" ref="A4:T34" headerRowCount="1">
  <autoFilter ref="A4:T34"/>
  <tableColumns count="20">
    <tableColumn id="1" name="ID"/>
    <tableColumn id="2" name="Project"/>
    <tableColumn id="3" name="Type"/>
    <tableColumn id="4" name="Description"/>
    <tableColumn id="5" name="Category"/>
    <tableColumn id="6" name="Probability"/>
    <tableColumn id="7" name="Impact"/>
    <tableColumn id="8" name="Risk Score"/>
    <tableColumn id="9" name="Priority"/>
    <tableColumn id="10" name="Owner"/>
    <tableColumn id="11" name="Mitigation"/>
    <tableColumn id="12" name="Contingency"/>
    <tableColumn id="13" name="Due Date"/>
    <tableColumn id="14" name="Status"/>
    <tableColumn id="15" name="Escalation"/>
    <tableColumn id="16" name="Resolution"/>
    <tableColumn id="17" name="Date Raised"/>
    <tableColumn id="18" name="Date Closed"/>
    <tableColumn id="19" name="Rank"/>
    <tableColumn id="20" name="ProjKe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ctions" displayName="tblActions" ref="A4:P34" headerRowCount="1">
  <autoFilter ref="A4:P34"/>
  <tableColumns count="16">
    <tableColumn id="1" name="Action ID"/>
    <tableColumn id="2" name="Project"/>
    <tableColumn id="3" name="Meeting / Source"/>
    <tableColumn id="4" name="Action"/>
    <tableColumn id="5" name="Owner"/>
    <tableColumn id="6" name="Priority"/>
    <tableColumn id="7" name="Date Opened"/>
    <tableColumn id="8" name="Due Date"/>
    <tableColumn id="9" name="Status"/>
    <tableColumn id="10" name="Days Remaining"/>
    <tableColumn id="11" name="Days Overdue"/>
    <tableColumn id="12" name="Escalation"/>
    <tableColumn id="13" name="Completion Date"/>
    <tableColumn id="14" name="Notes"/>
    <tableColumn id="15" name="OverdueRank"/>
    <tableColumn id="16" name="ProjKe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RACI" displayName="tblRACI" ref="A4:N34" headerRowCount="1">
  <autoFilter ref="A4:N34"/>
  <tableColumns count="14">
    <tableColumn id="1" name="Activity / Deliverable"/>
    <tableColumn id="2" name="Sponsor"/>
    <tableColumn id="3" name="PMO"/>
    <tableColumn id="4" name="Project Manager"/>
    <tableColumn id="5" name="Business Owner"/>
    <tableColumn id="6" name="IT Lead"/>
    <tableColumn id="7" name="Developer"/>
    <tableColumn id="8" name="Finance"/>
    <tableColumn id="9" name="Procurement"/>
    <tableColumn id="10" name="QA"/>
    <tableColumn id="11" name="End Users"/>
    <tableColumn id="12" name="A Count"/>
    <tableColumn id="13" name="Validation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takeholders" displayName="tblStakeholders" ref="A4:M34" headerRowCount="1">
  <autoFilter ref="A4:M34"/>
  <tableColumns count="13">
    <tableColumn id="1" name="Stakeholder"/>
    <tableColumn id="2" name="Role"/>
    <tableColumn id="3" name="Department"/>
    <tableColumn id="4" name="Influence"/>
    <tableColumn id="5" name="Interest"/>
    <tableColumn id="6" name="Engagement Level"/>
    <tableColumn id="7" name="Power/Interest Class"/>
    <tableColumn id="8" name="Information Needed"/>
    <tableColumn id="9" name="Frequency"/>
    <tableColumn id="10" name="Channel"/>
    <tableColumn id="11" name="Owner"/>
    <tableColumn id="12" name="Strategy"/>
    <tableColumn id="13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Change" displayName="tblChange" ref="A4:T34" headerRowCount="1">
  <autoFilter ref="A4:T34"/>
  <tableColumns count="20">
    <tableColumn id="1" name="Change ID"/>
    <tableColumn id="2" name="Project"/>
    <tableColumn id="3" name="Requested By"/>
    <tableColumn id="4" name="Request Date"/>
    <tableColumn id="5" name="Change Description"/>
    <tableColumn id="6" name="Reason"/>
    <tableColumn id="7" name="Scope Impact"/>
    <tableColumn id="8" name="Schedule Impact (days)"/>
    <tableColumn id="9" name="Cost Impact"/>
    <tableColumn id="10" name="Risk Impact"/>
    <tableColumn id="11" name="Priority"/>
    <tableColumn id="12" name="Impact Assessment"/>
    <tableColumn id="13" name="Recommendation"/>
    <tableColumn id="14" name="Approval Status"/>
    <tableColumn id="15" name="Approved By"/>
    <tableColumn id="16" name="Approval Date"/>
    <tableColumn id="17" name="Implementation Status"/>
    <tableColumn id="18" name="Compliance Check"/>
    <tableColumn id="19" name="Notes"/>
    <tableColumn id="20" name="PendingRan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ost" displayName="tblCost" ref="A4:M34" headerRowCount="1">
  <autoFilter ref="A4:M34"/>
  <tableColumns count="13">
    <tableColumn id="1" name="Cost ID"/>
    <tableColumn id="2" name="Project"/>
    <tableColumn id="3" name="Cost Category"/>
    <tableColumn id="4" name="Owner"/>
    <tableColumn id="5" name="Total Approved Amount"/>
    <tableColumn id="6" name="Committed Cost"/>
    <tableColumn id="7" name="Actual Cost"/>
    <tableColumn id="8" name="Forecast Cost"/>
    <tableColumn id="9" name="Budget Variance"/>
    <tableColumn id="10" name="Forecast Variance"/>
    <tableColumn id="11" name="Cost Utilisation %"/>
    <tableColumn id="12" name="Cost Status"/>
    <tableColumn id="13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Resources" displayName="tblResources" ref="A4:L34" headerRowCount="1">
  <autoFilter ref="A4:L34"/>
  <tableColumns count="12">
    <tableColumn id="1" name="Resource ID"/>
    <tableColumn id="2" name="Resource"/>
    <tableColumn id="3" name="Department"/>
    <tableColumn id="4" name="Role"/>
    <tableColumn id="5" name="Project"/>
    <tableColumn id="6" name="Allocation %"/>
    <tableColumn id="7" name="Start Date"/>
    <tableColumn id="8" name="End Date"/>
    <tableColumn id="9" name="Availability %"/>
    <tableColumn id="10" name="Utilisation %"/>
    <tableColumn id="11" name="Status"/>
    <tableColumn id="12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rocurement" displayName="tblProcurement" ref="A4:P34" headerRowCount="1">
  <autoFilter ref="A4:P34"/>
  <tableColumns count="16">
    <tableColumn id="1" name="Request ID"/>
    <tableColumn id="2" name="Project"/>
    <tableColumn id="3" name="Item"/>
    <tableColumn id="4" name="Requester"/>
    <tableColumn id="5" name="Supplier"/>
    <tableColumn id="6" name="Quotation"/>
    <tableColumn id="7" name="PO No."/>
    <tableColumn id="8" name="Total Approved Amount"/>
    <tableColumn id="9" name="Quoted Cost"/>
    <tableColumn id="10" name="Approved Cost"/>
    <tableColumn id="11" name="Order Date"/>
    <tableColumn id="12" name="Expected Delivery"/>
    <tableColumn id="13" name="Actual Delivery"/>
    <tableColumn id="14" name="Status"/>
    <tableColumn id="15" name="Variance"/>
    <tableColumn id="16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Quality" displayName="tblQuality" ref="A4:M34" headerRowCount="1">
  <autoFilter ref="A4:M34"/>
  <tableColumns count="13">
    <tableColumn id="1" name="QC ID"/>
    <tableColumn id="2" name="Project"/>
    <tableColumn id="3" name="Deliverable"/>
    <tableColumn id="4" name="Quality Criteria"/>
    <tableColumn id="5" name="Owner"/>
    <tableColumn id="6" name="Planned Date"/>
    <tableColumn id="7" name="Actual Date"/>
    <tableColumn id="8" name="Result"/>
    <tableColumn id="9" name="Defects"/>
    <tableColumn id="10" name="Corrective Action"/>
    <tableColumn id="11" name="Status"/>
    <tableColumn id="12" name="Evidence"/>
    <tableColumn id="13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Meetings" displayName="tblMeetings" ref="A4:N34" headerRowCount="1">
  <autoFilter ref="A4:N34"/>
  <tableColumns count="14">
    <tableColumn id="1" name="Meeting ID"/>
    <tableColumn id="2" name="Date"/>
    <tableColumn id="3" name="Project"/>
    <tableColumn id="4" name="Meeting Type"/>
    <tableColumn id="5" name="Chair"/>
    <tableColumn id="6" name="Attendees"/>
    <tableColumn id="7" name="Agenda"/>
    <tableColumn id="8" name="Discussion"/>
    <tableColumn id="9" name="Decision"/>
    <tableColumn id="10" name="Action"/>
    <tableColumn id="11" name="Owner"/>
    <tableColumn id="12" name="Due Date"/>
    <tableColumn id="13" name="Status"/>
    <tableColumn id="14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Decisions" displayName="tblDecisions" ref="A4:N34" headerRowCount="1">
  <autoFilter ref="A4:N34"/>
  <tableColumns count="14">
    <tableColumn id="1" name="Decision ID"/>
    <tableColumn id="2" name="Project"/>
    <tableColumn id="3" name="Decision Date"/>
    <tableColumn id="4" name="Decision Required"/>
    <tableColumn id="5" name="Options"/>
    <tableColumn id="6" name="Recommendation"/>
    <tableColumn id="7" name="Decision"/>
    <tableColumn id="8" name="Decision Maker"/>
    <tableColumn id="9" name="Impact"/>
    <tableColumn id="10" name="Follow-up Owner"/>
    <tableColumn id="11" name="Due Date"/>
    <tableColumn id="12" name="Status"/>
    <tableColumn id="13" name="Notes"/>
    <tableColumn id="14" name="PendingRank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CommPlan" displayName="tblCommPlan" ref="A4:K34" headerRowCount="1">
  <autoFilter ref="A4:K34"/>
  <tableColumns count="11">
    <tableColumn id="1" name="Comm ID"/>
    <tableColumn id="2" name="Audience"/>
    <tableColumn id="3" name="Information"/>
    <tableColumn id="4" name="Owner"/>
    <tableColumn id="5" name="Frequency"/>
    <tableColumn id="6" name="Format"/>
    <tableColumn id="7" name="Channel"/>
    <tableColumn id="8" name="Timing"/>
    <tableColumn id="9" name="Purpose"/>
    <tableColumn id="10" name="Escalation Path"/>
    <tableColumn id="11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Closure" displayName="tblClosure" ref="A4:I34" headerRowCount="1">
  <autoFilter ref="A4:I34"/>
  <tableColumns count="9">
    <tableColumn id="1" name="Item ID"/>
    <tableColumn id="2" name="Project"/>
    <tableColumn id="3" name="Closure Item"/>
    <tableColumn id="4" name="Owner"/>
    <tableColumn id="5" name="Due Date"/>
    <tableColumn id="6" name="Status"/>
    <tableColumn id="7" name="Evidence / Reference"/>
    <tableColumn id="8" name="Date Completed"/>
    <tableColumn id="9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Lessons" displayName="tblLessons" ref="A4:M34" headerRowCount="1">
  <autoFilter ref="A4:M34"/>
  <tableColumns count="13">
    <tableColumn id="1" name="Lesson ID"/>
    <tableColumn id="2" name="Project"/>
    <tableColumn id="3" name="Date"/>
    <tableColumn id="4" name="Area"/>
    <tableColumn id="5" name="What Went Well"/>
    <tableColumn id="6" name="What Went Wrong"/>
    <tableColumn id="7" name="Root Cause"/>
    <tableColumn id="8" name="Lesson"/>
    <tableColumn id="9" name="Recommendation"/>
    <tableColumn id="10" name="Owner"/>
    <tableColumn id="11" name="Action"/>
    <tableColumn id="12" name="Status"/>
    <tableColumn id="13" name="Not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SOPDaily" displayName="tblSOPDaily" ref="A6:E13" headerRowCount="1">
  <autoFilter ref="A6:E13"/>
  <tableColumns count="5">
    <tableColumn id="1" name="WHEN"/>
    <tableColumn id="2" name="ACTIVITY"/>
    <tableColumn id="3" name="WHAT GOOD LOOKS LIKE"/>
    <tableColumn id="4" name="OUTPUT"/>
    <tableColumn id="5" name="OWNE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SOPWeekly" displayName="tblSOPWeekly" ref="A16:E24" headerRowCount="1">
  <autoFilter ref="A16:E24"/>
  <tableColumns count="5">
    <tableColumn id="1" name="WHEN"/>
    <tableColumn id="2" name="ACTIVITY"/>
    <tableColumn id="3" name="WHAT GOOD LOOKS LIKE"/>
    <tableColumn id="4" name="OUTPUT"/>
    <tableColumn id="5" name="OWNER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SOPMonthly" displayName="tblSOPMonthly" ref="A27:E34" headerRowCount="1">
  <autoFilter ref="A27:E34"/>
  <tableColumns count="5">
    <tableColumn id="1" name="WHEN"/>
    <tableColumn id="2" name="ACTIVITY"/>
    <tableColumn id="3" name="WHAT GOOD LOOKS LIKE"/>
    <tableColumn id="4" name="OUTPUT"/>
    <tableColumn id="5" name="OWNE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Plan30" displayName="tblPlan30" ref="A4:I34" headerRowCount="1">
  <autoFilter ref="A4:I34"/>
  <tableColumns count="9">
    <tableColumn id="1" name="Phase"/>
    <tableColumn id="2" name="Focus Area"/>
    <tableColumn id="3" name="Key Actions"/>
    <tableColumn id="4" name="Deliverable"/>
    <tableColumn id="5" name="Success Measure"/>
    <tableColumn id="6" name="Owner"/>
    <tableColumn id="7" name="Target Date"/>
    <tableColumn id="8" name="Status"/>
    <tableColumn id="9" name="Note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Dictionary" displayName="tblDictionary" ref="A4:G271" headerRowCount="1">
  <autoFilter ref="A4:G271"/>
  <tableColumns count="7">
    <tableColumn id="1" name="SHEET"/>
    <tableColumn id="2" name="TABLE"/>
    <tableColumn id="3" name="FIELD"/>
    <tableColumn id="4" name="TYPE"/>
    <tableColumn id="5" name="SOURCE"/>
    <tableColumn id="6" name="DROP-DOWN / FORMULA"/>
    <tableColumn id="7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8.xml" Id="rId1" /><Relationship Type="http://schemas.openxmlformats.org/officeDocument/2006/relationships/table" Target="/xl/tables/table19.xml" Id="rId2" /><Relationship Type="http://schemas.openxmlformats.org/officeDocument/2006/relationships/table" Target="/xl/tables/table20.xml" Id="rId3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1" t="inlineStr">
        <is>
          <t>ASSISTANT PMO - MANAGEMENT SYSTEM</t>
        </is>
      </c>
    </row>
    <row r="2" ht="17" customHeight="1">
      <c r="A2" s="2" t="inlineStr">
        <is>
          <t>Control centre for the portfolio: click any tile to open a sheet, then use the dashboards to brief management.</t>
        </is>
      </c>
    </row>
    <row r="3" ht="15" customHeight="1">
      <c r="A3" s="3" t="inlineStr">
        <is>
          <t>Nothing here needs typing except the registers themselves - every tile, KPI, chart and count in this workbook is a formula or a hyperlink.</t>
        </is>
      </c>
    </row>
    <row r="4" ht="26" customHeight="1">
      <c r="A4" s="4">
        <f>"PMO CONTROL CENTRE   |   "&amp;TEXT(TODAY(),"dddd, dd mmmm yyyy")&amp;"   |   "&amp;COUNTIF('02_PROJECT_PORTFOLIO'!$C$5:$C$34,"?*")&amp;" PROJECTS   |   "&amp;COUNTIFS('06_RAID_LOG'!$C$5:$C$34,"Risk",'06_RAID_LOG'!$N$5:$N$34,"&lt;&gt;Closed")&amp;" OPEN RISKS   |   "&amp;COUNTIF('07_ACTION_TRACKER'!$K$5:$K$34,"&gt;0")&amp;" OVERDUE ACTIONS   |   "&amp;COUNTIF('17_DECISION_LOG'!$L$5:$L$34,"Pending")&amp;" DECISIONS PENDING"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8" customHeight="1"/>
    <row r="6" ht="20" customHeight="1">
      <c r="A6" s="6" t="inlineStr">
        <is>
          <t>NAVIGATION - CLICK ANY TILE TO OPEN THAT SHEET</t>
        </is>
      </c>
    </row>
    <row r="7" ht="30" customHeight="1">
      <c r="A7" s="7">
        <f>HYPERLINK("#'01_EXECUTIVE_DASHBOARD'!A1","01  EXECUTIVE DASHBOARD")</f>
        <v/>
      </c>
      <c r="B7" s="8" t="n"/>
      <c r="C7" s="7">
        <f>HYPERLINK("#'01B_PROJECT_DASHBOARD'!A1","01B  PROJECT DASHBOARD")</f>
        <v/>
      </c>
      <c r="D7" s="8" t="n"/>
      <c r="E7" s="7">
        <f>HYPERLINK("#'02_PROJECT_PORTFOLIO'!A1","02  PROJECT PORTFOLIO")</f>
        <v/>
      </c>
      <c r="F7" s="8" t="n"/>
      <c r="G7" s="7">
        <f>HYPERLINK("#'03_PROJECT_CHARTER'!A1","03  PROJECT CHARTER")</f>
        <v/>
      </c>
      <c r="H7" s="8" t="n"/>
      <c r="I7" s="7">
        <f>HYPERLINK("#'04_WBS_SCHEDULE'!A1","04  WBS &amp; GANTT")</f>
        <v/>
      </c>
      <c r="J7" s="8" t="n"/>
      <c r="K7" s="9" t="inlineStr">
        <is>
          <t>QUICK STATUS</t>
        </is>
      </c>
      <c r="L7" s="10" t="n"/>
    </row>
    <row r="8" ht="30" customHeight="1">
      <c r="A8" s="7">
        <f>HYPERLINK("#'05_MILESTONES'!A1","05  MILESTONES")</f>
        <v/>
      </c>
      <c r="B8" s="8" t="n"/>
      <c r="C8" s="7">
        <f>HYPERLINK("#'06_RAID_LOG'!A1","06  RAID LOG")</f>
        <v/>
      </c>
      <c r="D8" s="8" t="n"/>
      <c r="E8" s="7">
        <f>HYPERLINK("#'07_ACTION_TRACKER'!A1","07  ACTION TRACKER")</f>
        <v/>
      </c>
      <c r="F8" s="8" t="n"/>
      <c r="G8" s="7">
        <f>HYPERLINK("#'08_RACI_MATRIX'!A1","08  RACI MATRIX")</f>
        <v/>
      </c>
      <c r="H8" s="8" t="n"/>
      <c r="I8" s="7">
        <f>HYPERLINK("#'09_STAKEHOLDERS'!A1","09  STAKEHOLDERS")</f>
        <v/>
      </c>
      <c r="J8" s="8" t="n"/>
      <c r="K8" s="11">
        <f>COUNTIF('02_PROJECT_PORTFOLIO'!$C$5:$C$34,"?*")&amp;" projects in portfolio"</f>
        <v/>
      </c>
      <c r="L8" s="12" t="n"/>
    </row>
    <row r="9" ht="30" customHeight="1">
      <c r="A9" s="7">
        <f>HYPERLINK("#'10_CHANGE_CONTROL'!A1","10  CHANGE CONTROL")</f>
        <v/>
      </c>
      <c r="B9" s="8" t="n"/>
      <c r="C9" s="7">
        <f>HYPERLINK("#'11_COST_MANAGEMENT'!A1","11  COST MANAGEMENT")</f>
        <v/>
      </c>
      <c r="D9" s="8" t="n"/>
      <c r="E9" s="7">
        <f>HYPERLINK("#'12_RESOURCE_MANAGEMENT'!A1","12  RESOURCE MANAGEMENT")</f>
        <v/>
      </c>
      <c r="F9" s="8" t="n"/>
      <c r="G9" s="7">
        <f>HYPERLINK("#'13_PROCUREMENT'!A1","13  PROCUREMENT")</f>
        <v/>
      </c>
      <c r="H9" s="8" t="n"/>
      <c r="I9" s="7">
        <f>HYPERLINK("#'14_QUALITY_CONTROL'!A1","14  QUALITY CONTROL")</f>
        <v/>
      </c>
      <c r="J9" s="8" t="n"/>
      <c r="K9" s="11">
        <f>COUNTIFS('06_RAID_LOG'!$C$5:$C$34,"Risk",'06_RAID_LOG'!$N$5:$N$34,"&lt;&gt;Closed")&amp;" open risks"</f>
        <v/>
      </c>
      <c r="L9" s="12" t="n"/>
    </row>
    <row r="10" ht="30" customHeight="1">
      <c r="A10" s="7">
        <f>HYPERLINK("#'15_WEEKLY_STATUS'!A1","15  WEEKLY STATUS")</f>
        <v/>
      </c>
      <c r="B10" s="8" t="n"/>
      <c r="C10" s="7">
        <f>HYPERLINK("#'16_MEETING_MINUTES'!A1","16  MEETING MINUTES")</f>
        <v/>
      </c>
      <c r="D10" s="8" t="n"/>
      <c r="E10" s="7">
        <f>HYPERLINK("#'17_DECISION_LOG'!A1","17  DECISION LOG")</f>
        <v/>
      </c>
      <c r="F10" s="8" t="n"/>
      <c r="G10" s="7">
        <f>HYPERLINK("#'18_COMMUNICATION_PLAN'!A1","18  COMMUNICATION PLAN")</f>
        <v/>
      </c>
      <c r="H10" s="8" t="n"/>
      <c r="I10" s="7">
        <f>HYPERLINK("#'19_PROJECT_CLOSURE'!A1","19  PROJECT CLOSURE")</f>
        <v/>
      </c>
      <c r="J10" s="8" t="n"/>
      <c r="K10" s="11">
        <f>COUNTIF('07_ACTION_TRACKER'!$K$5:$K$34,"&gt;0")&amp;" overdue actions"</f>
        <v/>
      </c>
      <c r="L10" s="12" t="n"/>
    </row>
    <row r="11" ht="30" customHeight="1">
      <c r="A11" s="7">
        <f>HYPERLINK("#'20_LESSONS_LEARNED'!A1","20  LESSONS LEARNED")</f>
        <v/>
      </c>
      <c r="B11" s="8" t="n"/>
      <c r="C11" s="7">
        <f>HYPERLINK("#'21_PMOSOP'!A1","21  PMO SOP")</f>
        <v/>
      </c>
      <c r="D11" s="8" t="n"/>
      <c r="E11" s="7">
        <f>HYPERLINK("#'22_30_60_90_PLAN'!A1","22  30 / 60 / 90 PLAN")</f>
        <v/>
      </c>
      <c r="F11" s="8" t="n"/>
      <c r="G11" s="7">
        <f>HYPERLINK("#'23_SETTINGS'!A1","23  SETTINGS")</f>
        <v/>
      </c>
      <c r="H11" s="8" t="n"/>
      <c r="I11" s="7">
        <f>HYPERLINK("#'24_DATA_DICTIONARY'!A1","24  DATA DICTIONARY")</f>
        <v/>
      </c>
      <c r="J11" s="8" t="n"/>
      <c r="K11" s="11">
        <f>COUNTIF('17_DECISION_LOG'!$L$5:$L$34,"Pending")&amp;" decisions pending"</f>
        <v/>
      </c>
      <c r="L11" s="12" t="n"/>
    </row>
    <row r="12" ht="8" customHeight="1"/>
    <row r="13" ht="20" customHeight="1">
      <c r="A13" s="6" t="inlineStr">
        <is>
          <t>HOW THIS WORKBOOK IS ORGANISED</t>
        </is>
      </c>
    </row>
    <row r="14" ht="19" customHeight="1">
      <c r="A14" s="13" t="inlineStr">
        <is>
          <t>GOVERNANCE     03 Project Charter  |  08 RACI Matrix  |  09 Stakeholders  |  10 Change Control  |  17 Decision Log  |  18 Communication Plan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 ht="19" customHeight="1">
      <c r="A15" s="15" t="inlineStr">
        <is>
          <t>DELIVERY       02 Project Portfolio  |  04 WBS &amp; Gantt  |  05 Milestones  |  07 Action Tracker  |  12 Resources  |  13 Procurement  |  14 Quality  |  22 30-60-90 Plan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</row>
    <row r="16" ht="19" customHeight="1">
      <c r="A16" s="13" t="inlineStr">
        <is>
          <t>CONTROL        06 RAID Log  |  11 Cost Management  |  15 Weekly Status  |  16 Meeting Minutes  |  19 Project Closure  |  20 Lessons Learned  |  21 PMO SOP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19" customHeight="1">
      <c r="A17" s="15" t="inlineStr">
        <is>
          <t>REPORTING      01 Executive Dashboard  |  01B Project Dashboard  |  23 Settings  |  24 Data Dictionary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</row>
    <row r="18" ht="8" customHeight="1"/>
    <row r="19" ht="20" customHeight="1">
      <c r="A19" s="6" t="inlineStr">
        <is>
          <t>TODAY'S PRIORITIES - READ THIS BEFORE THE MANAGEMENT MEETING</t>
        </is>
      </c>
    </row>
    <row r="20" ht="21" customHeight="1">
      <c r="A20" s="17">
        <f>"1.   "&amp;COUNTIF('07_ACTION_TRACKER'!$K$5:$K$34,"&gt;0")&amp;" actions overdue (worst "&amp;MAX('07_ACTION_TRACKER'!$K$5:$K$34)&amp;" days)   -   open 07_ACTION_TRACKER"</f>
        <v/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21" customHeight="1">
      <c r="A21" s="18">
        <f>"2.   "&amp;COUNTIFS('05_MILESTONES'!$F$5:$F$34,"&gt;0",'05_MILESTONES'!$F$5:$F$34,"&lt;"&amp;TODAY(),'05_MILESTONES'!$H$5:$H$34,"&lt;&gt;Complete")&amp;" milestones overdue - open 05_MILESTONES"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 ht="21" customHeight="1">
      <c r="A22" s="17">
        <f>"3.   "&amp;COUNTIFS('06_RAID_LOG'!$C$5:$C$34,"Risk",'06_RAID_LOG'!$I$5:$I$34,"Critical",'06_RAID_LOG'!$N$5:$N$34,"&lt;&gt;Closed")&amp;" critical risks open - open 06_RAID_LOG"</f>
        <v/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 ht="21" customHeight="1">
      <c r="A23" s="18">
        <f>"4.   "&amp;COUNTIF('10_CHANGE_CONTROL'!$N$5:$N$34,"Pending")&amp;" change requests awaiting approval - open 10_CHANGE_CONTROL"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 ht="21" customHeight="1">
      <c r="A24" s="17">
        <f>"5.   "&amp;COUNTIF('17_DECISION_LOG'!$L$5:$L$34,"Pending")&amp;" decisions pending - open 17_DECISION_LOG"</f>
        <v/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 ht="8" customHeight="1"/>
    <row r="26" ht="30" customHeight="1">
      <c r="A26" s="19" t="inlineStr">
        <is>
          <t>EVERYTHING IS AUTOMATIC:  drop-downs come from 23_SETTINGS, KPIs and charts come from the registers, and the dashboards refresh the moment a register changes.  Sample records are marked SAMPLE in their Notes column - delete them whenever you like.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47">
    <mergeCell ref="A16:L16"/>
    <mergeCell ref="A11:B11"/>
    <mergeCell ref="G11:H11"/>
    <mergeCell ref="I11:J11"/>
    <mergeCell ref="K9:L9"/>
    <mergeCell ref="G8:H8"/>
    <mergeCell ref="A3:L3"/>
    <mergeCell ref="A21:L21"/>
    <mergeCell ref="E8:F8"/>
    <mergeCell ref="A26:L26"/>
    <mergeCell ref="A2:L2"/>
    <mergeCell ref="K11:L11"/>
    <mergeCell ref="C10:D10"/>
    <mergeCell ref="A7:B7"/>
    <mergeCell ref="G7:H7"/>
    <mergeCell ref="E10:F10"/>
    <mergeCell ref="I7:J7"/>
    <mergeCell ref="G10:H10"/>
    <mergeCell ref="A23:L23"/>
    <mergeCell ref="A14:L14"/>
    <mergeCell ref="A22:L22"/>
    <mergeCell ref="A17:L17"/>
    <mergeCell ref="C9:D9"/>
    <mergeCell ref="E9:F9"/>
    <mergeCell ref="A4:L4"/>
    <mergeCell ref="A20:L20"/>
    <mergeCell ref="K8:L8"/>
    <mergeCell ref="A19:L19"/>
    <mergeCell ref="C11:D11"/>
    <mergeCell ref="E11:F11"/>
    <mergeCell ref="A13:L13"/>
    <mergeCell ref="I8:J8"/>
    <mergeCell ref="A8:B8"/>
    <mergeCell ref="C8:D8"/>
    <mergeCell ref="A24:L24"/>
    <mergeCell ref="K7:L7"/>
    <mergeCell ref="A15:L15"/>
    <mergeCell ref="C7:D7"/>
    <mergeCell ref="E7:F7"/>
    <mergeCell ref="I10:J10"/>
    <mergeCell ref="A1:L1"/>
    <mergeCell ref="A10:B10"/>
    <mergeCell ref="K10:L10"/>
    <mergeCell ref="A6:L6"/>
    <mergeCell ref="A9:B9"/>
    <mergeCell ref="G9:H9"/>
    <mergeCell ref="I9:J9"/>
  </mergeCell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T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</cols>
  <sheetData>
    <row r="1" ht="32" customHeight="1">
      <c r="A1" s="1" t="inlineStr">
        <is>
          <t>EXECUTIVE DASHBOARD</t>
        </is>
      </c>
      <c r="P1" s="21" t="inlineStr">
        <is>
          <t>AUTOMATIC CHART DATA - FORMULAS ONLY, DO NOT EDIT</t>
        </is>
      </c>
      <c r="Q1" s="22" t="n"/>
      <c r="R1" s="22" t="n"/>
      <c r="S1" s="22" t="n"/>
      <c r="T1" s="22" t="n"/>
    </row>
    <row r="2" ht="17" customHeight="1">
      <c r="A2" s="2" t="inlineStr">
        <is>
          <t>Live portfolio control panel: 14 KPIs, management attention panels, next milestones, a filterable portfolio view and 10 charts - every figure is a formula.</t>
        </is>
      </c>
    </row>
    <row r="3" ht="15" customHeight="1">
      <c r="A3" s="3" t="inlineStr">
        <is>
          <t>All values calculate from the registers (portfolio, RAID, actions, milestones, changes, decisions). Change a register and this sheet updates automatically.</t>
        </is>
      </c>
      <c r="P3" s="21" t="inlineStr">
        <is>
          <t>BLOCK 1 - PROJECT STATUS</t>
        </is>
      </c>
      <c r="Q3" s="22" t="n"/>
      <c r="R3" s="22" t="n"/>
      <c r="S3" s="22" t="n"/>
      <c r="T3" s="22" t="n"/>
    </row>
    <row r="4" ht="26" customHeight="1">
      <c r="A4" s="4">
        <f>"PORTFOLIO: "&amp;A6&amp;" PROJECTS   |   ACTIVE: "&amp;C6&amp;"   |   ON TRACK: "&amp;E6&amp;"   |   AT RISK: "&amp;G6&amp;"   |   DELAYED: "&amp;I6&amp;"   |   OPEN RISKS: "&amp;M6&amp;"   |   OVERDUE ACTIONS: "&amp;C10&amp;"   |   DECISIONS PENDING: "&amp;M10&amp;"   |   AS AT "&amp;TEXT(TODAY(),"DD MMM YYYY")</f>
        <v/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P4" s="23" t="inlineStr">
        <is>
          <t>Status</t>
        </is>
      </c>
      <c r="Q4" s="23" t="inlineStr">
        <is>
          <t>Projects</t>
        </is>
      </c>
    </row>
    <row r="5" ht="17" customHeight="1">
      <c r="A5" s="24" t="inlineStr">
        <is>
          <t>TOTAL PROJECTS</t>
        </is>
      </c>
      <c r="B5" s="25" t="n"/>
      <c r="C5" s="24" t="inlineStr">
        <is>
          <t>ACTIVE PROJECTS</t>
        </is>
      </c>
      <c r="D5" s="25" t="n"/>
      <c r="E5" s="24" t="inlineStr">
        <is>
          <t>ON TRACK</t>
        </is>
      </c>
      <c r="F5" s="25" t="n"/>
      <c r="G5" s="24" t="inlineStr">
        <is>
          <t>AT RISK</t>
        </is>
      </c>
      <c r="H5" s="25" t="n"/>
      <c r="I5" s="24" t="inlineStr">
        <is>
          <t>DELAYED</t>
        </is>
      </c>
      <c r="J5" s="25" t="n"/>
      <c r="K5" s="24" t="inlineStr">
        <is>
          <t>COMPLETED</t>
        </is>
      </c>
      <c r="L5" s="25" t="n"/>
      <c r="M5" s="24" t="inlineStr">
        <is>
          <t>OPEN RISKS</t>
        </is>
      </c>
      <c r="N5" s="25" t="n"/>
      <c r="P5" s="26" t="inlineStr">
        <is>
          <t>Not Started</t>
        </is>
      </c>
      <c r="Q5" s="27">
        <f>COUNTIF('02_PROJECT_PORTFOLIO'!$M$5:$M$34,P5)</f>
        <v/>
      </c>
    </row>
    <row r="6" ht="30" customHeight="1">
      <c r="A6" s="28">
        <f>COUNTIF('02_PROJECT_PORTFOLIO'!$C$5:$C$34,"?*")</f>
        <v/>
      </c>
      <c r="B6" s="12" t="n"/>
      <c r="C6" s="28">
        <f>COUNTIF('02_PROJECT_PORTFOLIO'!$M$5:$M$34,"Active")</f>
        <v/>
      </c>
      <c r="D6" s="12" t="n"/>
      <c r="E6" s="28">
        <f>COUNTIFS('02_PROJECT_PORTFOLIO'!$N$5:$N$34,"Green",'02_PROJECT_PORTFOLIO'!$M$5:$M$34,"&lt;&gt;Completed",'02_PROJECT_PORTFOLIO'!$M$5:$M$34,"&lt;&gt;Cancelled")</f>
        <v/>
      </c>
      <c r="F6" s="12" t="n"/>
      <c r="G6" s="28">
        <f>COUNTIF('02_PROJECT_PORTFOLIO'!$N$5:$N$34,"Yellow")</f>
        <v/>
      </c>
      <c r="H6" s="12" t="n"/>
      <c r="I6" s="28">
        <f>COUNTIF('02_PROJECT_PORTFOLIO'!$N$5:$N$34,"Red")</f>
        <v/>
      </c>
      <c r="J6" s="12" t="n"/>
      <c r="K6" s="28">
        <f>COUNTIF('02_PROJECT_PORTFOLIO'!$M$5:$M$34,"Completed")</f>
        <v/>
      </c>
      <c r="L6" s="12" t="n"/>
      <c r="M6" s="28">
        <f>COUNTIFS('06_RAID_LOG'!$C$5:$C$34,"Risk",'06_RAID_LOG'!$N$5:$N$34,"&lt;&gt;Closed")</f>
        <v/>
      </c>
      <c r="N6" s="12" t="n"/>
      <c r="P6" s="26" t="inlineStr">
        <is>
          <t>Active</t>
        </is>
      </c>
      <c r="Q6" s="27">
        <f>COUNTIF('02_PROJECT_PORTFOLIO'!$M$5:$M$34,P6)</f>
        <v/>
      </c>
    </row>
    <row r="7" ht="15" customHeight="1">
      <c r="A7" s="29" t="inlineStr">
        <is>
          <t>REGISTERED IN PORTFOLIO</t>
        </is>
      </c>
      <c r="B7" s="12" t="n"/>
      <c r="C7" s="29">
        <f>TEXT(IFERROR(C6/A6,0),"0%")&amp;" OF PORTFOLIO"</f>
        <v/>
      </c>
      <c r="D7" s="12" t="n"/>
      <c r="E7" s="29" t="inlineStr">
        <is>
          <t>GREEN RAG, IN FLIGHT</t>
        </is>
      </c>
      <c r="F7" s="12" t="n"/>
      <c r="G7" s="29" t="inlineStr">
        <is>
          <t>YELLOW RAG - WATCH</t>
        </is>
      </c>
      <c r="H7" s="12" t="n"/>
      <c r="I7" s="29" t="inlineStr">
        <is>
          <t>RED RAG - ACT NOW</t>
        </is>
      </c>
      <c r="J7" s="12" t="n"/>
      <c r="K7" s="29" t="inlineStr">
        <is>
          <t>CLOSED / IN CLOSURE</t>
        </is>
      </c>
      <c r="L7" s="12" t="n"/>
      <c r="M7" s="29">
        <f>"CRITICAL: "&amp;COUNTIFS('06_RAID_LOG'!$C$5:$C$34,"Risk",'06_RAID_LOG'!$I$5:$I$34,"Critical",'06_RAID_LOG'!$N$5:$N$34,"&lt;&gt;Closed")</f>
        <v/>
      </c>
      <c r="N7" s="12" t="n"/>
      <c r="P7" s="26" t="inlineStr">
        <is>
          <t>On Hold</t>
        </is>
      </c>
      <c r="Q7" s="27">
        <f>COUNTIF('02_PROJECT_PORTFOLIO'!$M$5:$M$34,P7)</f>
        <v/>
      </c>
    </row>
    <row r="8" ht="6" customHeight="1">
      <c r="P8" s="26" t="inlineStr">
        <is>
          <t>Completed</t>
        </is>
      </c>
      <c r="Q8" s="27">
        <f>COUNTIF('02_PROJECT_PORTFOLIO'!$M$5:$M$34,P8)</f>
        <v/>
      </c>
    </row>
    <row r="9" ht="17" customHeight="1">
      <c r="A9" s="24" t="inlineStr">
        <is>
          <t>OPEN ISSUES</t>
        </is>
      </c>
      <c r="B9" s="25" t="n"/>
      <c r="C9" s="24" t="inlineStr">
        <is>
          <t>OVERDUE ACTIONS</t>
        </is>
      </c>
      <c r="D9" s="25" t="n"/>
      <c r="E9" s="24" t="inlineStr">
        <is>
          <t>APPROVED AMOUNT</t>
        </is>
      </c>
      <c r="F9" s="25" t="n"/>
      <c r="G9" s="24" t="inlineStr">
        <is>
          <t>ACTUAL COST</t>
        </is>
      </c>
      <c r="H9" s="25" t="n"/>
      <c r="I9" s="24" t="inlineStr">
        <is>
          <t>FORECAST COST</t>
        </is>
      </c>
      <c r="J9" s="25" t="n"/>
      <c r="K9" s="24" t="inlineStr">
        <is>
          <t>MILESTONES DUE 7 DAYS</t>
        </is>
      </c>
      <c r="L9" s="25" t="n"/>
      <c r="M9" s="24" t="inlineStr">
        <is>
          <t>PENDING DECISIONS</t>
        </is>
      </c>
      <c r="N9" s="25" t="n"/>
      <c r="P9" s="26" t="inlineStr">
        <is>
          <t>Cancelled</t>
        </is>
      </c>
      <c r="Q9" s="27">
        <f>COUNTIF('02_PROJECT_PORTFOLIO'!$M$5:$M$34,P9)</f>
        <v/>
      </c>
    </row>
    <row r="10" ht="30" customHeight="1">
      <c r="A10" s="28">
        <f>COUNTIFS('06_RAID_LOG'!$C$5:$C$34,"Issue",'06_RAID_LOG'!$N$5:$N$34,"&lt;&gt;Closed")</f>
        <v/>
      </c>
      <c r="B10" s="12" t="n"/>
      <c r="C10" s="28">
        <f>COUNTIF('07_ACTION_TRACKER'!$K$5:$K$34,"&gt;0")</f>
        <v/>
      </c>
      <c r="D10" s="12" t="n"/>
      <c r="E10" s="30">
        <f>SUM('02_PROJECT_PORTFOLIO'!$O$5:$O$34)</f>
        <v/>
      </c>
      <c r="F10" s="12" t="n"/>
      <c r="G10" s="30">
        <f>SUM('02_PROJECT_PORTFOLIO'!$P$5:$P$34)</f>
        <v/>
      </c>
      <c r="H10" s="12" t="n"/>
      <c r="I10" s="30">
        <f>SUM('02_PROJECT_PORTFOLIO'!$Q$5:$Q$34)</f>
        <v/>
      </c>
      <c r="J10" s="12" t="n"/>
      <c r="K10" s="28">
        <f>COUNTIFS('05_MILESTONES'!$F$5:$F$34,"&gt;="&amp;TODAY(),'05_MILESTONES'!$F$5:$F$34,"&lt;="&amp;TODAY()+7,'05_MILESTONES'!$H$5:$H$34,"&lt;&gt;Complete")</f>
        <v/>
      </c>
      <c r="L10" s="12" t="n"/>
      <c r="M10" s="28">
        <f>COUNTIF('17_DECISION_LOG'!$L$5:$L$34,"Pending")</f>
        <v/>
      </c>
      <c r="N10" s="12" t="n"/>
    </row>
    <row r="11" ht="15" customHeight="1">
      <c r="A11" s="29">
        <f>"ESCALATED: "&amp;COUNTIFS('06_RAID_LOG'!$C$5:$C$34,"Issue",'06_RAID_LOG'!$N$5:$N$34,"&lt;&gt;Closed",'06_RAID_LOG'!$O$5:$O$34,"Yes")</f>
        <v/>
      </c>
      <c r="B11" s="12" t="n"/>
      <c r="C11" s="29">
        <f>"WORST: "&amp;MAX('07_ACTION_TRACKER'!$K$5:$K$34)&amp;" DAYS LATE"</f>
        <v/>
      </c>
      <c r="D11" s="12" t="n"/>
      <c r="E11" s="29" t="inlineStr">
        <is>
          <t>TOTAL APPROVED</t>
        </is>
      </c>
      <c r="F11" s="12" t="n"/>
      <c r="G11" s="29">
        <f>TEXT(IFERROR(G10/E10,0),"0%")&amp;" OF APPROVED"</f>
        <v/>
      </c>
      <c r="H11" s="12" t="n"/>
      <c r="I11" s="29">
        <f>IF(I10&gt;E10,"OVER APPROVED BY "&amp;TEXT(I10-E10,"#,##0"),"WITHIN APPROVED")</f>
        <v/>
      </c>
      <c r="J11" s="12" t="n"/>
      <c r="K11" s="29">
        <f>"OVERDUE: "&amp;COUNTIFS('05_MILESTONES'!$F$5:$F$34,"&gt;0",'05_MILESTONES'!$F$5:$F$34,"&lt;"&amp;TODAY(),'05_MILESTONES'!$H$5:$H$34,"&lt;&gt;Complete")</f>
        <v/>
      </c>
      <c r="L11" s="12" t="n"/>
      <c r="M11" s="29">
        <f>"CHANGES PENDING: "&amp;COUNTIF('10_CHANGE_CONTROL'!$N$5:$N$34,"Pending")</f>
        <v/>
      </c>
      <c r="N11" s="12" t="n"/>
      <c r="P11" s="21" t="inlineStr">
        <is>
          <t>BLOCK 2 - PROJECT RAG</t>
        </is>
      </c>
      <c r="Q11" s="22" t="n"/>
      <c r="R11" s="22" t="n"/>
      <c r="S11" s="22" t="n"/>
      <c r="T11" s="22" t="n"/>
    </row>
    <row r="12" ht="26" customHeight="1">
      <c r="P12" s="23" t="inlineStr">
        <is>
          <t>RAG</t>
        </is>
      </c>
      <c r="Q12" s="23" t="inlineStr">
        <is>
          <t>Projects</t>
        </is>
      </c>
    </row>
    <row r="13" ht="20" customHeight="1">
      <c r="A13" s="6" t="inlineStr">
        <is>
          <t>MANAGEMENT ATTENTION - WHAT NEEDS A DECISION THIS WEEK</t>
        </is>
      </c>
      <c r="P13" s="26" t="inlineStr">
        <is>
          <t>Green</t>
        </is>
      </c>
      <c r="Q13" s="27">
        <f>COUNTIF('02_PROJECT_PORTFOLIO'!$N$5:$N$34,P13)</f>
        <v/>
      </c>
    </row>
    <row r="14" ht="19" customHeight="1">
      <c r="A14" s="31">
        <f>"RED / DELAYED PROJECTS   ("&amp;COUNTIF('02_PROJECT_PORTFOLIO'!$N$5:$N$34,"Red")&amp;")"</f>
        <v/>
      </c>
      <c r="B14" s="32" t="n"/>
      <c r="C14" s="32" t="n"/>
      <c r="D14" s="32" t="n"/>
      <c r="E14" s="32" t="n"/>
      <c r="F14" s="32" t="n"/>
      <c r="G14" s="32" t="n"/>
      <c r="H14" s="31">
        <f>"TOP OPEN RISKS BY SCORE   ("&amp;COUNTIFS('06_RAID_LOG'!$C$5:$C$34,"Risk",'06_RAID_LOG'!$N$5:$N$34,"&lt;&gt;Closed")&amp;")"</f>
        <v/>
      </c>
      <c r="I14" s="32" t="n"/>
      <c r="J14" s="32" t="n"/>
      <c r="K14" s="32" t="n"/>
      <c r="L14" s="32" t="n"/>
      <c r="M14" s="32" t="n"/>
      <c r="N14" s="32" t="n"/>
      <c r="P14" s="26" t="inlineStr">
        <is>
          <t>Yellow</t>
        </is>
      </c>
      <c r="Q14" s="27">
        <f>COUNTIF('02_PROJECT_PORTFOLIO'!$N$5:$N$34,P14)</f>
        <v/>
      </c>
    </row>
    <row r="15" ht="16" customHeight="1">
      <c r="A15" s="33">
        <f>"•"&amp;IFERROR(INDEX('02_PROJECT_PORTFOLIO'!$C$5:$C$34,MATCH(1,'02_PROJECT_PORTFOLIO'!$Z$5:$Z$34,0))&amp;"   ["&amp;INDEX('02_PROJECT_PORTFOLIO'!$M$5:$M$34,MATCH(1,'02_PROJECT_PORTFOLIO'!$Z$5:$Z$34,0))&amp;"]   "&amp;INDEX('02_PROJECT_PORTFOLIO'!$D$5:$D$34,MATCH(1,'02_PROJECT_PORTFOLIO'!$Z$5:$Z$34,0))&amp;" - forecast "&amp;TEXT(INDEX('02_PROJECT_PORTFOLIO'!$J$5:$J$34,MATCH(1,'02_PROJECT_PORTFOLIO'!$Z$5:$Z$34,0)),"dd-mmm-yy"),"")</f>
        <v/>
      </c>
      <c r="B15" s="14" t="n"/>
      <c r="C15" s="14" t="n"/>
      <c r="D15" s="14" t="n"/>
      <c r="E15" s="14" t="n"/>
      <c r="F15" s="14" t="n"/>
      <c r="G15" s="14" t="n"/>
      <c r="H15" s="33">
        <f>"•"&amp;IFERROR(INDEX('06_RAID_LOG'!$D$5:$D$34,MATCH(1,'06_RAID_LOG'!$S$5:$S$34,0))&amp;"   ("&amp;INDEX('06_RAID_LOG'!$I$5:$I$34,MATCH(1,'06_RAID_LOG'!$S$5:$S$34,0))&amp;" - "&amp;INDEX('06_RAID_LOG'!$B$5:$B$34,MATCH(1,'06_RAID_LOG'!$S$5:$S$34,0))&amp;")","")</f>
        <v/>
      </c>
      <c r="I15" s="14" t="n"/>
      <c r="J15" s="14" t="n"/>
      <c r="K15" s="14" t="n"/>
      <c r="L15" s="14" t="n"/>
      <c r="M15" s="14" t="n"/>
      <c r="N15" s="14" t="n"/>
      <c r="P15" s="26" t="inlineStr">
        <is>
          <t>Red</t>
        </is>
      </c>
      <c r="Q15" s="27">
        <f>COUNTIF('02_PROJECT_PORTFOLIO'!$N$5:$N$34,P15)</f>
        <v/>
      </c>
    </row>
    <row r="16" ht="16" customHeight="1">
      <c r="A16" s="34">
        <f>"•"&amp;IFERROR(INDEX('02_PROJECT_PORTFOLIO'!$C$5:$C$34,MATCH(2,'02_PROJECT_PORTFOLIO'!$Z$5:$Z$34,0))&amp;"   ["&amp;INDEX('02_PROJECT_PORTFOLIO'!$M$5:$M$34,MATCH(2,'02_PROJECT_PORTFOLIO'!$Z$5:$Z$34,0))&amp;"]   "&amp;INDEX('02_PROJECT_PORTFOLIO'!$D$5:$D$34,MATCH(2,'02_PROJECT_PORTFOLIO'!$Z$5:$Z$34,0))&amp;" - forecast "&amp;TEXT(INDEX('02_PROJECT_PORTFOLIO'!$J$5:$J$34,MATCH(2,'02_PROJECT_PORTFOLIO'!$Z$5:$Z$34,0)),"dd-mmm-yy"),"")</f>
        <v/>
      </c>
      <c r="B16" s="16" t="n"/>
      <c r="C16" s="16" t="n"/>
      <c r="D16" s="16" t="n"/>
      <c r="E16" s="16" t="n"/>
      <c r="F16" s="16" t="n"/>
      <c r="G16" s="16" t="n"/>
      <c r="H16" s="34">
        <f>"•"&amp;IFERROR(INDEX('06_RAID_LOG'!$D$5:$D$34,MATCH(2,'06_RAID_LOG'!$S$5:$S$34,0))&amp;"   ("&amp;INDEX('06_RAID_LOG'!$I$5:$I$34,MATCH(2,'06_RAID_LOG'!$S$5:$S$34,0))&amp;" - "&amp;INDEX('06_RAID_LOG'!$B$5:$B$34,MATCH(2,'06_RAID_LOG'!$S$5:$S$34,0))&amp;")","")</f>
        <v/>
      </c>
      <c r="I16" s="16" t="n"/>
      <c r="J16" s="16" t="n"/>
      <c r="K16" s="16" t="n"/>
      <c r="L16" s="16" t="n"/>
      <c r="M16" s="16" t="n"/>
      <c r="N16" s="16" t="n"/>
    </row>
    <row r="17" ht="16" customHeight="1">
      <c r="A17" s="33">
        <f>"•"&amp;IFERROR(INDEX('02_PROJECT_PORTFOLIO'!$C$5:$C$34,MATCH(3,'02_PROJECT_PORTFOLIO'!$Z$5:$Z$34,0))&amp;"   ["&amp;INDEX('02_PROJECT_PORTFOLIO'!$M$5:$M$34,MATCH(3,'02_PROJECT_PORTFOLIO'!$Z$5:$Z$34,0))&amp;"]   "&amp;INDEX('02_PROJECT_PORTFOLIO'!$D$5:$D$34,MATCH(3,'02_PROJECT_PORTFOLIO'!$Z$5:$Z$34,0))&amp;" - forecast "&amp;TEXT(INDEX('02_PROJECT_PORTFOLIO'!$J$5:$J$34,MATCH(3,'02_PROJECT_PORTFOLIO'!$Z$5:$Z$34,0)),"dd-mmm-yy"),"")</f>
        <v/>
      </c>
      <c r="B17" s="14" t="n"/>
      <c r="C17" s="14" t="n"/>
      <c r="D17" s="14" t="n"/>
      <c r="E17" s="14" t="n"/>
      <c r="F17" s="14" t="n"/>
      <c r="G17" s="14" t="n"/>
      <c r="H17" s="33">
        <f>"•"&amp;IFERROR(INDEX('06_RAID_LOG'!$D$5:$D$34,MATCH(3,'06_RAID_LOG'!$S$5:$S$34,0))&amp;"   ("&amp;INDEX('06_RAID_LOG'!$I$5:$I$34,MATCH(3,'06_RAID_LOG'!$S$5:$S$34,0))&amp;" - "&amp;INDEX('06_RAID_LOG'!$B$5:$B$34,MATCH(3,'06_RAID_LOG'!$S$5:$S$34,0))&amp;")","")</f>
        <v/>
      </c>
      <c r="I17" s="14" t="n"/>
      <c r="J17" s="14" t="n"/>
      <c r="K17" s="14" t="n"/>
      <c r="L17" s="14" t="n"/>
      <c r="M17" s="14" t="n"/>
      <c r="N17" s="14" t="n"/>
      <c r="P17" s="21" t="inlineStr">
        <is>
          <t>BLOCK 3 - PROJECT COMPLETION</t>
        </is>
      </c>
      <c r="Q17" s="22" t="n"/>
      <c r="R17" s="22" t="n"/>
      <c r="S17" s="22" t="n"/>
      <c r="T17" s="22" t="n"/>
    </row>
    <row r="18" ht="26" customHeight="1">
      <c r="A18" s="34">
        <f>"•"&amp;IFERROR(INDEX('02_PROJECT_PORTFOLIO'!$C$5:$C$34,MATCH(4,'02_PROJECT_PORTFOLIO'!$Z$5:$Z$34,0))&amp;"   ["&amp;INDEX('02_PROJECT_PORTFOLIO'!$M$5:$M$34,MATCH(4,'02_PROJECT_PORTFOLIO'!$Z$5:$Z$34,0))&amp;"]   "&amp;INDEX('02_PROJECT_PORTFOLIO'!$D$5:$D$34,MATCH(4,'02_PROJECT_PORTFOLIO'!$Z$5:$Z$34,0))&amp;" - forecast "&amp;TEXT(INDEX('02_PROJECT_PORTFOLIO'!$J$5:$J$34,MATCH(4,'02_PROJECT_PORTFOLIO'!$Z$5:$Z$34,0)),"dd-mmm-yy"),"")</f>
        <v/>
      </c>
      <c r="B18" s="16" t="n"/>
      <c r="C18" s="16" t="n"/>
      <c r="D18" s="16" t="n"/>
      <c r="E18" s="16" t="n"/>
      <c r="F18" s="16" t="n"/>
      <c r="G18" s="16" t="n"/>
      <c r="H18" s="34">
        <f>"•"&amp;IFERROR(INDEX('06_RAID_LOG'!$D$5:$D$34,MATCH(4,'06_RAID_LOG'!$S$5:$S$34,0))&amp;"   ("&amp;INDEX('06_RAID_LOG'!$I$5:$I$34,MATCH(4,'06_RAID_LOG'!$S$5:$S$34,0))&amp;" - "&amp;INDEX('06_RAID_LOG'!$B$5:$B$34,MATCH(4,'06_RAID_LOG'!$S$5:$S$34,0))&amp;")","")</f>
        <v/>
      </c>
      <c r="I18" s="16" t="n"/>
      <c r="J18" s="16" t="n"/>
      <c r="K18" s="16" t="n"/>
      <c r="L18" s="16" t="n"/>
      <c r="M18" s="16" t="n"/>
      <c r="N18" s="16" t="n"/>
      <c r="P18" s="23" t="inlineStr">
        <is>
          <t>Project</t>
        </is>
      </c>
      <c r="Q18" s="23" t="inlineStr">
        <is>
          <t>% Complete</t>
        </is>
      </c>
    </row>
    <row r="19" ht="16" customHeight="1">
      <c r="A19" s="33">
        <f>"•"&amp;IFERROR(INDEX('02_PROJECT_PORTFOLIO'!$C$5:$C$34,MATCH(5,'02_PROJECT_PORTFOLIO'!$Z$5:$Z$34,0))&amp;"   ["&amp;INDEX('02_PROJECT_PORTFOLIO'!$M$5:$M$34,MATCH(5,'02_PROJECT_PORTFOLIO'!$Z$5:$Z$34,0))&amp;"]   "&amp;INDEX('02_PROJECT_PORTFOLIO'!$D$5:$D$34,MATCH(5,'02_PROJECT_PORTFOLIO'!$Z$5:$Z$34,0))&amp;" - forecast "&amp;TEXT(INDEX('02_PROJECT_PORTFOLIO'!$J$5:$J$34,MATCH(5,'02_PROJECT_PORTFOLIO'!$Z$5:$Z$34,0)),"dd-mmm-yy"),"")</f>
        <v/>
      </c>
      <c r="B19" s="14" t="n"/>
      <c r="C19" s="14" t="n"/>
      <c r="D19" s="14" t="n"/>
      <c r="E19" s="14" t="n"/>
      <c r="F19" s="14" t="n"/>
      <c r="G19" s="14" t="n"/>
      <c r="H19" s="33">
        <f>"•"&amp;IFERROR(INDEX('06_RAID_LOG'!$D$5:$D$34,MATCH(5,'06_RAID_LOG'!$S$5:$S$34,0))&amp;"   ("&amp;INDEX('06_RAID_LOG'!$I$5:$I$34,MATCH(5,'06_RAID_LOG'!$S$5:$S$34,0))&amp;" - "&amp;INDEX('06_RAID_LOG'!$B$5:$B$34,MATCH(5,'06_RAID_LOG'!$S$5:$S$34,0))&amp;")","")</f>
        <v/>
      </c>
      <c r="I19" s="14" t="n"/>
      <c r="J19" s="14" t="n"/>
      <c r="K19" s="14" t="n"/>
      <c r="L19" s="14" t="n"/>
      <c r="M19" s="14" t="n"/>
      <c r="N19" s="14" t="n"/>
      <c r="P19" s="26">
        <f>IFERROR(INDEX('02_PROJECT_PORTFOLIO'!$C$5:$C$34,MATCH(1,'02_PROJECT_PORTFOLIO'!$Y$5:$Y$34,0)),"")</f>
        <v/>
      </c>
      <c r="Q19" s="35">
        <f>IF($P19="","",INDEX('02_PROJECT_PORTFOLIO'!$L$5:$L$34,MATCH($P19,'02_PROJECT_PORTFOLIO'!$C$5:$C$34,0)))</f>
        <v/>
      </c>
    </row>
    <row r="20">
      <c r="P20" s="26">
        <f>IFERROR(INDEX('02_PROJECT_PORTFOLIO'!$C$5:$C$34,MATCH(2,'02_PROJECT_PORTFOLIO'!$Y$5:$Y$34,0)),"")</f>
        <v/>
      </c>
      <c r="Q20" s="35">
        <f>IF($P20="","",INDEX('02_PROJECT_PORTFOLIO'!$L$5:$L$34,MATCH($P20,'02_PROJECT_PORTFOLIO'!$C$5:$C$34,0)))</f>
        <v/>
      </c>
    </row>
    <row r="21" ht="19" customHeight="1">
      <c r="A21" s="31">
        <f>"OVERDUE ACTIONS   ("&amp;COUNTIF('07_ACTION_TRACKER'!$K$5:$K$34,"&gt;0")&amp;")"</f>
        <v/>
      </c>
      <c r="B21" s="32" t="n"/>
      <c r="C21" s="32" t="n"/>
      <c r="D21" s="32" t="n"/>
      <c r="E21" s="32" t="n"/>
      <c r="F21" s="32" t="n"/>
      <c r="G21" s="32" t="n"/>
      <c r="H21" s="31">
        <f>"PENDING APPROVALS &amp; DECISIONS"</f>
        <v/>
      </c>
      <c r="I21" s="32" t="n"/>
      <c r="J21" s="32" t="n"/>
      <c r="K21" s="32" t="n"/>
      <c r="L21" s="32" t="n"/>
      <c r="M21" s="32" t="n"/>
      <c r="N21" s="32" t="n"/>
      <c r="P21" s="26">
        <f>IFERROR(INDEX('02_PROJECT_PORTFOLIO'!$C$5:$C$34,MATCH(3,'02_PROJECT_PORTFOLIO'!$Y$5:$Y$34,0)),"")</f>
        <v/>
      </c>
      <c r="Q21" s="35">
        <f>IF($P21="","",INDEX('02_PROJECT_PORTFOLIO'!$L$5:$L$34,MATCH($P21,'02_PROJECT_PORTFOLIO'!$C$5:$C$34,0)))</f>
        <v/>
      </c>
    </row>
    <row r="22" ht="16" customHeight="1">
      <c r="A22" s="33">
        <f>"•"&amp;IFERROR(INDEX('07_ACTION_TRACKER'!$E$5:$E$34,MATCH(1,'07_ACTION_TRACKER'!$O$5:$O$34,0))&amp;": "&amp;LEFT(INDEX('07_ACTION_TRACKER'!$D$5:$D$34,MATCH(1,'07_ACTION_TRACKER'!$O$5:$O$34,0)),42)&amp;"  ("&amp;INDEX('07_ACTION_TRACKER'!$K$5:$K$34,MATCH(1,'07_ACTION_TRACKER'!$O$5:$O$34,0))&amp;"d late)","")</f>
        <v/>
      </c>
      <c r="B22" s="14" t="n"/>
      <c r="C22" s="14" t="n"/>
      <c r="D22" s="14" t="n"/>
      <c r="E22" s="14" t="n"/>
      <c r="F22" s="14" t="n"/>
      <c r="G22" s="14" t="n"/>
      <c r="H22" s="33">
        <f>"•"&amp;IFERROR(INDEX('10_CHANGE_CONTROL'!$A$5:$A$34,MATCH(1,'10_CHANGE_CONTROL'!$T$5:$T$34,0))&amp;"   "&amp;LEFT(INDEX('10_CHANGE_CONTROL'!$E$5:$E$34,MATCH(1,'10_CHANGE_CONTROL'!$T$5:$T$34,0)),44)&amp;"   ["&amp;TEXT(INDEX('10_CHANGE_CONTROL'!$I$5:$I$34,MATCH(1,'10_CHANGE_CONTROL'!$T$5:$T$34,0)),"#,##0")&amp;"]","")</f>
        <v/>
      </c>
      <c r="I22" s="14" t="n"/>
      <c r="J22" s="14" t="n"/>
      <c r="K22" s="14" t="n"/>
      <c r="L22" s="14" t="n"/>
      <c r="M22" s="14" t="n"/>
      <c r="N22" s="14" t="n"/>
      <c r="P22" s="26">
        <f>IFERROR(INDEX('02_PROJECT_PORTFOLIO'!$C$5:$C$34,MATCH(4,'02_PROJECT_PORTFOLIO'!$Y$5:$Y$34,0)),"")</f>
        <v/>
      </c>
      <c r="Q22" s="35">
        <f>IF($P22="","",INDEX('02_PROJECT_PORTFOLIO'!$L$5:$L$34,MATCH($P22,'02_PROJECT_PORTFOLIO'!$C$5:$C$34,0)))</f>
        <v/>
      </c>
    </row>
    <row r="23" ht="16" customHeight="1">
      <c r="A23" s="34">
        <f>"•"&amp;IFERROR(INDEX('07_ACTION_TRACKER'!$E$5:$E$34,MATCH(2,'07_ACTION_TRACKER'!$O$5:$O$34,0))&amp;": "&amp;LEFT(INDEX('07_ACTION_TRACKER'!$D$5:$D$34,MATCH(2,'07_ACTION_TRACKER'!$O$5:$O$34,0)),42)&amp;"  ("&amp;INDEX('07_ACTION_TRACKER'!$K$5:$K$34,MATCH(2,'07_ACTION_TRACKER'!$O$5:$O$34,0))&amp;"d late)","")</f>
        <v/>
      </c>
      <c r="B23" s="16" t="n"/>
      <c r="C23" s="16" t="n"/>
      <c r="D23" s="16" t="n"/>
      <c r="E23" s="16" t="n"/>
      <c r="F23" s="16" t="n"/>
      <c r="G23" s="16" t="n"/>
      <c r="H23" s="34">
        <f>"•"&amp;IFERROR(INDEX('10_CHANGE_CONTROL'!$A$5:$A$34,MATCH(2,'10_CHANGE_CONTROL'!$T$5:$T$34,0))&amp;"   "&amp;LEFT(INDEX('10_CHANGE_CONTROL'!$E$5:$E$34,MATCH(2,'10_CHANGE_CONTROL'!$T$5:$T$34,0)),44)&amp;"   ["&amp;TEXT(INDEX('10_CHANGE_CONTROL'!$I$5:$I$34,MATCH(2,'10_CHANGE_CONTROL'!$T$5:$T$34,0)),"#,##0")&amp;"]","")</f>
        <v/>
      </c>
      <c r="I23" s="16" t="n"/>
      <c r="J23" s="16" t="n"/>
      <c r="K23" s="16" t="n"/>
      <c r="L23" s="16" t="n"/>
      <c r="M23" s="16" t="n"/>
      <c r="N23" s="16" t="n"/>
      <c r="P23" s="26">
        <f>IFERROR(INDEX('02_PROJECT_PORTFOLIO'!$C$5:$C$34,MATCH(5,'02_PROJECT_PORTFOLIO'!$Y$5:$Y$34,0)),"")</f>
        <v/>
      </c>
      <c r="Q23" s="35">
        <f>IF($P23="","",INDEX('02_PROJECT_PORTFOLIO'!$L$5:$L$34,MATCH($P23,'02_PROJECT_PORTFOLIO'!$C$5:$C$34,0)))</f>
        <v/>
      </c>
    </row>
    <row r="24" ht="16" customHeight="1">
      <c r="A24" s="33">
        <f>"•"&amp;IFERROR(INDEX('07_ACTION_TRACKER'!$E$5:$E$34,MATCH(3,'07_ACTION_TRACKER'!$O$5:$O$34,0))&amp;": "&amp;LEFT(INDEX('07_ACTION_TRACKER'!$D$5:$D$34,MATCH(3,'07_ACTION_TRACKER'!$O$5:$O$34,0)),42)&amp;"  ("&amp;INDEX('07_ACTION_TRACKER'!$K$5:$K$34,MATCH(3,'07_ACTION_TRACKER'!$O$5:$O$34,0))&amp;"d late)","")</f>
        <v/>
      </c>
      <c r="B24" s="14" t="n"/>
      <c r="C24" s="14" t="n"/>
      <c r="D24" s="14" t="n"/>
      <c r="E24" s="14" t="n"/>
      <c r="F24" s="14" t="n"/>
      <c r="G24" s="14" t="n"/>
      <c r="H24" s="33">
        <f>"•"&amp;IFERROR(INDEX('10_CHANGE_CONTROL'!$A$5:$A$34,MATCH(3,'10_CHANGE_CONTROL'!$T$5:$T$34,0))&amp;"   "&amp;LEFT(INDEX('10_CHANGE_CONTROL'!$E$5:$E$34,MATCH(3,'10_CHANGE_CONTROL'!$T$5:$T$34,0)),44)&amp;"   ["&amp;TEXT(INDEX('10_CHANGE_CONTROL'!$I$5:$I$34,MATCH(3,'10_CHANGE_CONTROL'!$T$5:$T$34,0)),"#,##0")&amp;"]","")</f>
        <v/>
      </c>
      <c r="I24" s="14" t="n"/>
      <c r="J24" s="14" t="n"/>
      <c r="K24" s="14" t="n"/>
      <c r="L24" s="14" t="n"/>
      <c r="M24" s="14" t="n"/>
      <c r="N24" s="14" t="n"/>
      <c r="P24" s="26">
        <f>IFERROR(INDEX('02_PROJECT_PORTFOLIO'!$C$5:$C$34,MATCH(6,'02_PROJECT_PORTFOLIO'!$Y$5:$Y$34,0)),"")</f>
        <v/>
      </c>
      <c r="Q24" s="35">
        <f>IF($P24="","",INDEX('02_PROJECT_PORTFOLIO'!$L$5:$L$34,MATCH($P24,'02_PROJECT_PORTFOLIO'!$C$5:$C$34,0)))</f>
        <v/>
      </c>
    </row>
    <row r="25" ht="16" customHeight="1">
      <c r="A25" s="34">
        <f>"•"&amp;IFERROR(INDEX('07_ACTION_TRACKER'!$E$5:$E$34,MATCH(4,'07_ACTION_TRACKER'!$O$5:$O$34,0))&amp;": "&amp;LEFT(INDEX('07_ACTION_TRACKER'!$D$5:$D$34,MATCH(4,'07_ACTION_TRACKER'!$O$5:$O$34,0)),42)&amp;"  ("&amp;INDEX('07_ACTION_TRACKER'!$K$5:$K$34,MATCH(4,'07_ACTION_TRACKER'!$O$5:$O$34,0))&amp;"d late)","")</f>
        <v/>
      </c>
      <c r="B25" s="16" t="n"/>
      <c r="C25" s="16" t="n"/>
      <c r="D25" s="16" t="n"/>
      <c r="E25" s="16" t="n"/>
      <c r="F25" s="16" t="n"/>
      <c r="G25" s="16" t="n"/>
      <c r="H25" s="34">
        <f>"•"&amp;"Decisions pending: "&amp;COUNTIF('17_DECISION_LOG'!$L$5:$L$34,"Pending")&amp;"   |   decisions overdue: "&amp;COUNTIFS('17_DECISION_LOG'!$L$5:$L$34,"Pending",'17_DECISION_LOG'!$K$5:$K$34,"&lt;"&amp;TODAY())&amp;"   |   milestones overdue: "&amp;COUNTIFS('05_MILESTONES'!$F$5:$F$34,"&gt;0",'05_MILESTONES'!$F$5:$F$34,"&lt;"&amp;TODAY(),'05_MILESTONES'!$H$5:$H$34,"&lt;&gt;Complete")</f>
        <v/>
      </c>
      <c r="I25" s="16" t="n"/>
      <c r="J25" s="16" t="n"/>
      <c r="K25" s="16" t="n"/>
      <c r="L25" s="16" t="n"/>
      <c r="M25" s="16" t="n"/>
      <c r="N25" s="16" t="n"/>
      <c r="P25" s="26">
        <f>IFERROR(INDEX('02_PROJECT_PORTFOLIO'!$C$5:$C$34,MATCH(7,'02_PROJECT_PORTFOLIO'!$Y$5:$Y$34,0)),"")</f>
        <v/>
      </c>
      <c r="Q25" s="35">
        <f>IF($P25="","",INDEX('02_PROJECT_PORTFOLIO'!$L$5:$L$34,MATCH($P25,'02_PROJECT_PORTFOLIO'!$C$5:$C$34,0)))</f>
        <v/>
      </c>
    </row>
    <row r="26" ht="16" customHeight="1">
      <c r="A26" s="33">
        <f>"•"&amp;IFERROR(INDEX('07_ACTION_TRACKER'!$E$5:$E$34,MATCH(5,'07_ACTION_TRACKER'!$O$5:$O$34,0))&amp;": "&amp;LEFT(INDEX('07_ACTION_TRACKER'!$D$5:$D$34,MATCH(5,'07_ACTION_TRACKER'!$O$5:$O$34,0)),42)&amp;"  ("&amp;INDEX('07_ACTION_TRACKER'!$K$5:$K$34,MATCH(5,'07_ACTION_TRACKER'!$O$5:$O$34,0))&amp;"d late)","")</f>
        <v/>
      </c>
      <c r="B26" s="14" t="n"/>
      <c r="C26" s="14" t="n"/>
      <c r="D26" s="14" t="n"/>
      <c r="E26" s="14" t="n"/>
      <c r="F26" s="14" t="n"/>
      <c r="G26" s="14" t="n"/>
      <c r="H26" s="34">
        <f>"•"&amp;"Pending change value: "&amp;TEXT(SUMIFS('10_CHANGE_CONTROL'!$I$5:$I$34,'10_CHANGE_CONTROL'!$N$5:$N$34,"Pending"),"#,##0")&amp;"   |   quality failures: "&amp;COUNTIF('14_QUALITY_CONTROL'!$H$5:$H$34,"Fail")&amp;"   |   closure items open: "&amp;COUNTIFS('19_PROJECT_CLOSURE'!$F$5:$F$34,"&lt;&gt;Complete",'19_PROJECT_CLOSURE'!$F$5:$F$34,"&lt;&gt;N/A",'19_PROJECT_CLOSURE'!$A$5:$A$34,"?*")</f>
        <v/>
      </c>
      <c r="I26" s="16" t="n"/>
      <c r="J26" s="16" t="n"/>
      <c r="K26" s="16" t="n"/>
      <c r="L26" s="16" t="n"/>
      <c r="M26" s="16" t="n"/>
      <c r="N26" s="16" t="n"/>
      <c r="P26" s="26">
        <f>IFERROR(INDEX('02_PROJECT_PORTFOLIO'!$C$5:$C$34,MATCH(8,'02_PROJECT_PORTFOLIO'!$Y$5:$Y$34,0)),"")</f>
        <v/>
      </c>
      <c r="Q26" s="35">
        <f>IF($P26="","",INDEX('02_PROJECT_PORTFOLIO'!$L$5:$L$34,MATCH($P26,'02_PROJECT_PORTFOLIO'!$C$5:$C$34,0)))</f>
        <v/>
      </c>
    </row>
    <row r="27">
      <c r="P27" s="26">
        <f>IFERROR(INDEX('02_PROJECT_PORTFOLIO'!$C$5:$C$34,MATCH(9,'02_PROJECT_PORTFOLIO'!$Y$5:$Y$34,0)),"")</f>
        <v/>
      </c>
      <c r="Q27" s="35">
        <f>IF($P27="","",INDEX('02_PROJECT_PORTFOLIO'!$L$5:$L$34,MATCH($P27,'02_PROJECT_PORTFOLIO'!$C$5:$C$34,0)))</f>
        <v/>
      </c>
    </row>
    <row r="28" ht="20" customHeight="1">
      <c r="A28" s="6" t="inlineStr">
        <is>
          <t>NEXT 10 MILESTONES - AUTOMATIC, CLOSEST FORECAST DATE FIRST</t>
        </is>
      </c>
      <c r="P28" s="26">
        <f>IFERROR(INDEX('02_PROJECT_PORTFOLIO'!$C$5:$C$34,MATCH(10,'02_PROJECT_PORTFOLIO'!$Y$5:$Y$34,0)),"")</f>
        <v/>
      </c>
      <c r="Q28" s="35">
        <f>IF($P28="","",INDEX('02_PROJECT_PORTFOLIO'!$L$5:$L$34,MATCH($P28,'02_PROJECT_PORTFOLIO'!$C$5:$C$34,0)))</f>
        <v/>
      </c>
    </row>
    <row r="29" ht="22" customHeight="1">
      <c r="A29" s="36" t="inlineStr">
        <is>
          <t>MILESTONE</t>
        </is>
      </c>
      <c r="B29" s="37" t="n"/>
      <c r="C29" s="37" t="n"/>
      <c r="D29" s="37" t="n"/>
      <c r="E29" s="36" t="inlineStr">
        <is>
          <t>PROJECT</t>
        </is>
      </c>
      <c r="F29" s="37" t="n"/>
      <c r="G29" s="37" t="n"/>
      <c r="H29" s="36" t="inlineStr">
        <is>
          <t>OWNER</t>
        </is>
      </c>
      <c r="I29" s="37" t="n"/>
      <c r="J29" s="36" t="inlineStr">
        <is>
          <t>FORECAST DATE</t>
        </is>
      </c>
      <c r="K29" s="37" t="n"/>
      <c r="L29" s="36" t="inlineStr">
        <is>
          <t>DAYS</t>
        </is>
      </c>
      <c r="M29" s="37" t="n"/>
      <c r="N29" s="36" t="inlineStr">
        <is>
          <t>RAG</t>
        </is>
      </c>
    </row>
    <row r="30" ht="16" customHeight="1">
      <c r="A30" s="33">
        <f>IFERROR(INDEX('05_MILESTONES'!$C$5:$C$34,MATCH(SMALL('05_MILESTONES'!$M$5:$M$34,1),'05_MILESTONES'!$M$5:$M$34,0)),"")</f>
        <v/>
      </c>
      <c r="B30" s="14" t="n"/>
      <c r="C30" s="14" t="n"/>
      <c r="D30" s="14" t="n"/>
      <c r="E30" s="33">
        <f>IFERROR(INDEX('05_MILESTONES'!$B$5:$B$34,MATCH(SMALL('05_MILESTONES'!$M$5:$M$34,1),'05_MILESTONES'!$M$5:$M$34,0)),"")</f>
        <v/>
      </c>
      <c r="F30" s="14" t="n"/>
      <c r="G30" s="14" t="n"/>
      <c r="H30" s="33">
        <f>IFERROR(INDEX('05_MILESTONES'!$D$5:$D$34,MATCH(SMALL('05_MILESTONES'!$M$5:$M$34,1),'05_MILESTONES'!$M$5:$M$34,0)),"")</f>
        <v/>
      </c>
      <c r="I30" s="14" t="n"/>
      <c r="J30" s="38">
        <f>IFERROR(INDEX('05_MILESTONES'!$F$5:$F$34,MATCH(SMALL('05_MILESTONES'!$M$5:$M$34,1),'05_MILESTONES'!$M$5:$M$34,0)),"")</f>
        <v/>
      </c>
      <c r="K30" s="14" t="n"/>
      <c r="L30" s="39">
        <f>IFERROR(INDEX('05_MILESTONES'!$I$5:$I$34,MATCH(SMALL('05_MILESTONES'!$M$5:$M$34,1),'05_MILESTONES'!$M$5:$M$34,0)),"")</f>
        <v/>
      </c>
      <c r="M30" s="14" t="n"/>
      <c r="N30" s="40">
        <f>IFERROR(INDEX('05_MILESTONES'!$K$5:$K$34,MATCH(SMALL('05_MILESTONES'!$M$5:$M$34,1),'05_MILESTONES'!$M$5:$M$34,0)),"")</f>
        <v/>
      </c>
      <c r="P30" s="21" t="inlineStr">
        <is>
          <t>BLOCK 4 - PLANNED vs ACTUAL PROGRESS</t>
        </is>
      </c>
      <c r="Q30" s="22" t="n"/>
      <c r="R30" s="22" t="n"/>
      <c r="S30" s="22" t="n"/>
      <c r="T30" s="22" t="n"/>
    </row>
    <row r="31" ht="26" customHeight="1">
      <c r="A31" s="33">
        <f>IFERROR(INDEX('05_MILESTONES'!$C$5:$C$34,MATCH(SMALL('05_MILESTONES'!$M$5:$M$34,2),'05_MILESTONES'!$M$5:$M$34,0)),"")</f>
        <v/>
      </c>
      <c r="B31" s="14" t="n"/>
      <c r="C31" s="14" t="n"/>
      <c r="D31" s="14" t="n"/>
      <c r="E31" s="33">
        <f>IFERROR(INDEX('05_MILESTONES'!$B$5:$B$34,MATCH(SMALL('05_MILESTONES'!$M$5:$M$34,2),'05_MILESTONES'!$M$5:$M$34,0)),"")</f>
        <v/>
      </c>
      <c r="F31" s="14" t="n"/>
      <c r="G31" s="14" t="n"/>
      <c r="H31" s="33">
        <f>IFERROR(INDEX('05_MILESTONES'!$D$5:$D$34,MATCH(SMALL('05_MILESTONES'!$M$5:$M$34,2),'05_MILESTONES'!$M$5:$M$34,0)),"")</f>
        <v/>
      </c>
      <c r="I31" s="14" t="n"/>
      <c r="J31" s="38">
        <f>IFERROR(INDEX('05_MILESTONES'!$F$5:$F$34,MATCH(SMALL('05_MILESTONES'!$M$5:$M$34,2),'05_MILESTONES'!$M$5:$M$34,0)),"")</f>
        <v/>
      </c>
      <c r="K31" s="14" t="n"/>
      <c r="L31" s="39">
        <f>IFERROR(INDEX('05_MILESTONES'!$I$5:$I$34,MATCH(SMALL('05_MILESTONES'!$M$5:$M$34,2),'05_MILESTONES'!$M$5:$M$34,0)),"")</f>
        <v/>
      </c>
      <c r="M31" s="14" t="n"/>
      <c r="N31" s="40">
        <f>IFERROR(INDEX('05_MILESTONES'!$K$5:$K$34,MATCH(SMALL('05_MILESTONES'!$M$5:$M$34,2),'05_MILESTONES'!$M$5:$M$34,0)),"")</f>
        <v/>
      </c>
      <c r="P31" s="23" t="inlineStr">
        <is>
          <t>Project</t>
        </is>
      </c>
      <c r="Q31" s="23" t="inlineStr">
        <is>
          <t>Planned to date</t>
        </is>
      </c>
      <c r="R31" s="23" t="inlineStr">
        <is>
          <t>Actual</t>
        </is>
      </c>
    </row>
    <row r="32" ht="16" customHeight="1">
      <c r="A32" s="33">
        <f>IFERROR(INDEX('05_MILESTONES'!$C$5:$C$34,MATCH(SMALL('05_MILESTONES'!$M$5:$M$34,3),'05_MILESTONES'!$M$5:$M$34,0)),"")</f>
        <v/>
      </c>
      <c r="B32" s="14" t="n"/>
      <c r="C32" s="14" t="n"/>
      <c r="D32" s="14" t="n"/>
      <c r="E32" s="33">
        <f>IFERROR(INDEX('05_MILESTONES'!$B$5:$B$34,MATCH(SMALL('05_MILESTONES'!$M$5:$M$34,3),'05_MILESTONES'!$M$5:$M$34,0)),"")</f>
        <v/>
      </c>
      <c r="F32" s="14" t="n"/>
      <c r="G32" s="14" t="n"/>
      <c r="H32" s="33">
        <f>IFERROR(INDEX('05_MILESTONES'!$D$5:$D$34,MATCH(SMALL('05_MILESTONES'!$M$5:$M$34,3),'05_MILESTONES'!$M$5:$M$34,0)),"")</f>
        <v/>
      </c>
      <c r="I32" s="14" t="n"/>
      <c r="J32" s="38">
        <f>IFERROR(INDEX('05_MILESTONES'!$F$5:$F$34,MATCH(SMALL('05_MILESTONES'!$M$5:$M$34,3),'05_MILESTONES'!$M$5:$M$34,0)),"")</f>
        <v/>
      </c>
      <c r="K32" s="14" t="n"/>
      <c r="L32" s="39">
        <f>IFERROR(INDEX('05_MILESTONES'!$I$5:$I$34,MATCH(SMALL('05_MILESTONES'!$M$5:$M$34,3),'05_MILESTONES'!$M$5:$M$34,0)),"")</f>
        <v/>
      </c>
      <c r="M32" s="14" t="n"/>
      <c r="N32" s="40">
        <f>IFERROR(INDEX('05_MILESTONES'!$K$5:$K$34,MATCH(SMALL('05_MILESTONES'!$M$5:$M$34,3),'05_MILESTONES'!$M$5:$M$34,0)),"")</f>
        <v/>
      </c>
      <c r="P32" s="26">
        <f>IFERROR(INDEX('02_PROJECT_PORTFOLIO'!$C$5:$C$34,MATCH(1,'02_PROJECT_PORTFOLIO'!$Y$5:$Y$34,0)),"")</f>
        <v/>
      </c>
      <c r="Q32" s="35">
        <f>IF($P32="","",IFERROR(MAX(0,MIN(1,(TODAY()-INDEX('02_PROJECT_PORTFOLIO'!$H$5:$H$34,MATCH($P32,'02_PROJECT_PORTFOLIO'!$C$5:$C$34,0)))/(INDEX('02_PROJECT_PORTFOLIO'!$I$5:$I$34,MATCH($P32,'02_PROJECT_PORTFOLIO'!$C$5:$C$34,0))-INDEX('02_PROJECT_PORTFOLIO'!$H$5:$H$34,MATCH($P32,'02_PROJECT_PORTFOLIO'!$C$5:$C$34,0))))),""))</f>
        <v/>
      </c>
      <c r="R32" s="35">
        <f>IF($P32="","",INDEX('02_PROJECT_PORTFOLIO'!$L$5:$L$34,MATCH($P32,'02_PROJECT_PORTFOLIO'!$C$5:$C$34,0)))</f>
        <v/>
      </c>
    </row>
    <row r="33" ht="16" customHeight="1">
      <c r="A33" s="33">
        <f>IFERROR(INDEX('05_MILESTONES'!$C$5:$C$34,MATCH(SMALL('05_MILESTONES'!$M$5:$M$34,4),'05_MILESTONES'!$M$5:$M$34,0)),"")</f>
        <v/>
      </c>
      <c r="B33" s="14" t="n"/>
      <c r="C33" s="14" t="n"/>
      <c r="D33" s="14" t="n"/>
      <c r="E33" s="33">
        <f>IFERROR(INDEX('05_MILESTONES'!$B$5:$B$34,MATCH(SMALL('05_MILESTONES'!$M$5:$M$34,4),'05_MILESTONES'!$M$5:$M$34,0)),"")</f>
        <v/>
      </c>
      <c r="F33" s="14" t="n"/>
      <c r="G33" s="14" t="n"/>
      <c r="H33" s="33">
        <f>IFERROR(INDEX('05_MILESTONES'!$D$5:$D$34,MATCH(SMALL('05_MILESTONES'!$M$5:$M$34,4),'05_MILESTONES'!$M$5:$M$34,0)),"")</f>
        <v/>
      </c>
      <c r="I33" s="14" t="n"/>
      <c r="J33" s="38">
        <f>IFERROR(INDEX('05_MILESTONES'!$F$5:$F$34,MATCH(SMALL('05_MILESTONES'!$M$5:$M$34,4),'05_MILESTONES'!$M$5:$M$34,0)),"")</f>
        <v/>
      </c>
      <c r="K33" s="14" t="n"/>
      <c r="L33" s="39">
        <f>IFERROR(INDEX('05_MILESTONES'!$I$5:$I$34,MATCH(SMALL('05_MILESTONES'!$M$5:$M$34,4),'05_MILESTONES'!$M$5:$M$34,0)),"")</f>
        <v/>
      </c>
      <c r="M33" s="14" t="n"/>
      <c r="N33" s="40">
        <f>IFERROR(INDEX('05_MILESTONES'!$K$5:$K$34,MATCH(SMALL('05_MILESTONES'!$M$5:$M$34,4),'05_MILESTONES'!$M$5:$M$34,0)),"")</f>
        <v/>
      </c>
      <c r="P33" s="26">
        <f>IFERROR(INDEX('02_PROJECT_PORTFOLIO'!$C$5:$C$34,MATCH(2,'02_PROJECT_PORTFOLIO'!$Y$5:$Y$34,0)),"")</f>
        <v/>
      </c>
      <c r="Q33" s="35">
        <f>IF($P33="","",IFERROR(MAX(0,MIN(1,(TODAY()-INDEX('02_PROJECT_PORTFOLIO'!$H$5:$H$34,MATCH($P33,'02_PROJECT_PORTFOLIO'!$C$5:$C$34,0)))/(INDEX('02_PROJECT_PORTFOLIO'!$I$5:$I$34,MATCH($P33,'02_PROJECT_PORTFOLIO'!$C$5:$C$34,0))-INDEX('02_PROJECT_PORTFOLIO'!$H$5:$H$34,MATCH($P33,'02_PROJECT_PORTFOLIO'!$C$5:$C$34,0))))),""))</f>
        <v/>
      </c>
      <c r="R33" s="35">
        <f>IF($P33="","",INDEX('02_PROJECT_PORTFOLIO'!$L$5:$L$34,MATCH($P33,'02_PROJECT_PORTFOLIO'!$C$5:$C$34,0)))</f>
        <v/>
      </c>
    </row>
    <row r="34" ht="16" customHeight="1">
      <c r="A34" s="33">
        <f>IFERROR(INDEX('05_MILESTONES'!$C$5:$C$34,MATCH(SMALL('05_MILESTONES'!$M$5:$M$34,5),'05_MILESTONES'!$M$5:$M$34,0)),"")</f>
        <v/>
      </c>
      <c r="B34" s="14" t="n"/>
      <c r="C34" s="14" t="n"/>
      <c r="D34" s="14" t="n"/>
      <c r="E34" s="33">
        <f>IFERROR(INDEX('05_MILESTONES'!$B$5:$B$34,MATCH(SMALL('05_MILESTONES'!$M$5:$M$34,5),'05_MILESTONES'!$M$5:$M$34,0)),"")</f>
        <v/>
      </c>
      <c r="F34" s="14" t="n"/>
      <c r="G34" s="14" t="n"/>
      <c r="H34" s="33">
        <f>IFERROR(INDEX('05_MILESTONES'!$D$5:$D$34,MATCH(SMALL('05_MILESTONES'!$M$5:$M$34,5),'05_MILESTONES'!$M$5:$M$34,0)),"")</f>
        <v/>
      </c>
      <c r="I34" s="14" t="n"/>
      <c r="J34" s="38">
        <f>IFERROR(INDEX('05_MILESTONES'!$F$5:$F$34,MATCH(SMALL('05_MILESTONES'!$M$5:$M$34,5),'05_MILESTONES'!$M$5:$M$34,0)),"")</f>
        <v/>
      </c>
      <c r="K34" s="14" t="n"/>
      <c r="L34" s="39">
        <f>IFERROR(INDEX('05_MILESTONES'!$I$5:$I$34,MATCH(SMALL('05_MILESTONES'!$M$5:$M$34,5),'05_MILESTONES'!$M$5:$M$34,0)),"")</f>
        <v/>
      </c>
      <c r="M34" s="14" t="n"/>
      <c r="N34" s="40">
        <f>IFERROR(INDEX('05_MILESTONES'!$K$5:$K$34,MATCH(SMALL('05_MILESTONES'!$M$5:$M$34,5),'05_MILESTONES'!$M$5:$M$34,0)),"")</f>
        <v/>
      </c>
      <c r="P34" s="26">
        <f>IFERROR(INDEX('02_PROJECT_PORTFOLIO'!$C$5:$C$34,MATCH(3,'02_PROJECT_PORTFOLIO'!$Y$5:$Y$34,0)),"")</f>
        <v/>
      </c>
      <c r="Q34" s="35">
        <f>IF($P34="","",IFERROR(MAX(0,MIN(1,(TODAY()-INDEX('02_PROJECT_PORTFOLIO'!$H$5:$H$34,MATCH($P34,'02_PROJECT_PORTFOLIO'!$C$5:$C$34,0)))/(INDEX('02_PROJECT_PORTFOLIO'!$I$5:$I$34,MATCH($P34,'02_PROJECT_PORTFOLIO'!$C$5:$C$34,0))-INDEX('02_PROJECT_PORTFOLIO'!$H$5:$H$34,MATCH($P34,'02_PROJECT_PORTFOLIO'!$C$5:$C$34,0))))),""))</f>
        <v/>
      </c>
      <c r="R34" s="35">
        <f>IF($P34="","",INDEX('02_PROJECT_PORTFOLIO'!$L$5:$L$34,MATCH($P34,'02_PROJECT_PORTFOLIO'!$C$5:$C$34,0)))</f>
        <v/>
      </c>
    </row>
    <row r="35" ht="16" customHeight="1">
      <c r="A35" s="33">
        <f>IFERROR(INDEX('05_MILESTONES'!$C$5:$C$34,MATCH(SMALL('05_MILESTONES'!$M$5:$M$34,6),'05_MILESTONES'!$M$5:$M$34,0)),"")</f>
        <v/>
      </c>
      <c r="B35" s="14" t="n"/>
      <c r="C35" s="14" t="n"/>
      <c r="D35" s="14" t="n"/>
      <c r="E35" s="33">
        <f>IFERROR(INDEX('05_MILESTONES'!$B$5:$B$34,MATCH(SMALL('05_MILESTONES'!$M$5:$M$34,6),'05_MILESTONES'!$M$5:$M$34,0)),"")</f>
        <v/>
      </c>
      <c r="F35" s="14" t="n"/>
      <c r="G35" s="14" t="n"/>
      <c r="H35" s="33">
        <f>IFERROR(INDEX('05_MILESTONES'!$D$5:$D$34,MATCH(SMALL('05_MILESTONES'!$M$5:$M$34,6),'05_MILESTONES'!$M$5:$M$34,0)),"")</f>
        <v/>
      </c>
      <c r="I35" s="14" t="n"/>
      <c r="J35" s="38">
        <f>IFERROR(INDEX('05_MILESTONES'!$F$5:$F$34,MATCH(SMALL('05_MILESTONES'!$M$5:$M$34,6),'05_MILESTONES'!$M$5:$M$34,0)),"")</f>
        <v/>
      </c>
      <c r="K35" s="14" t="n"/>
      <c r="L35" s="39">
        <f>IFERROR(INDEX('05_MILESTONES'!$I$5:$I$34,MATCH(SMALL('05_MILESTONES'!$M$5:$M$34,6),'05_MILESTONES'!$M$5:$M$34,0)),"")</f>
        <v/>
      </c>
      <c r="M35" s="14" t="n"/>
      <c r="N35" s="40">
        <f>IFERROR(INDEX('05_MILESTONES'!$K$5:$K$34,MATCH(SMALL('05_MILESTONES'!$M$5:$M$34,6),'05_MILESTONES'!$M$5:$M$34,0)),"")</f>
        <v/>
      </c>
      <c r="P35" s="26">
        <f>IFERROR(INDEX('02_PROJECT_PORTFOLIO'!$C$5:$C$34,MATCH(4,'02_PROJECT_PORTFOLIO'!$Y$5:$Y$34,0)),"")</f>
        <v/>
      </c>
      <c r="Q35" s="35">
        <f>IF($P35="","",IFERROR(MAX(0,MIN(1,(TODAY()-INDEX('02_PROJECT_PORTFOLIO'!$H$5:$H$34,MATCH($P35,'02_PROJECT_PORTFOLIO'!$C$5:$C$34,0)))/(INDEX('02_PROJECT_PORTFOLIO'!$I$5:$I$34,MATCH($P35,'02_PROJECT_PORTFOLIO'!$C$5:$C$34,0))-INDEX('02_PROJECT_PORTFOLIO'!$H$5:$H$34,MATCH($P35,'02_PROJECT_PORTFOLIO'!$C$5:$C$34,0))))),""))</f>
        <v/>
      </c>
      <c r="R35" s="35">
        <f>IF($P35="","",INDEX('02_PROJECT_PORTFOLIO'!$L$5:$L$34,MATCH($P35,'02_PROJECT_PORTFOLIO'!$C$5:$C$34,0)))</f>
        <v/>
      </c>
    </row>
    <row r="36" ht="16" customHeight="1">
      <c r="A36" s="33">
        <f>IFERROR(INDEX('05_MILESTONES'!$C$5:$C$34,MATCH(SMALL('05_MILESTONES'!$M$5:$M$34,7),'05_MILESTONES'!$M$5:$M$34,0)),"")</f>
        <v/>
      </c>
      <c r="B36" s="14" t="n"/>
      <c r="C36" s="14" t="n"/>
      <c r="D36" s="14" t="n"/>
      <c r="E36" s="33">
        <f>IFERROR(INDEX('05_MILESTONES'!$B$5:$B$34,MATCH(SMALL('05_MILESTONES'!$M$5:$M$34,7),'05_MILESTONES'!$M$5:$M$34,0)),"")</f>
        <v/>
      </c>
      <c r="F36" s="14" t="n"/>
      <c r="G36" s="14" t="n"/>
      <c r="H36" s="33">
        <f>IFERROR(INDEX('05_MILESTONES'!$D$5:$D$34,MATCH(SMALL('05_MILESTONES'!$M$5:$M$34,7),'05_MILESTONES'!$M$5:$M$34,0)),"")</f>
        <v/>
      </c>
      <c r="I36" s="14" t="n"/>
      <c r="J36" s="38">
        <f>IFERROR(INDEX('05_MILESTONES'!$F$5:$F$34,MATCH(SMALL('05_MILESTONES'!$M$5:$M$34,7),'05_MILESTONES'!$M$5:$M$34,0)),"")</f>
        <v/>
      </c>
      <c r="K36" s="14" t="n"/>
      <c r="L36" s="39">
        <f>IFERROR(INDEX('05_MILESTONES'!$I$5:$I$34,MATCH(SMALL('05_MILESTONES'!$M$5:$M$34,7),'05_MILESTONES'!$M$5:$M$34,0)),"")</f>
        <v/>
      </c>
      <c r="M36" s="14" t="n"/>
      <c r="N36" s="40">
        <f>IFERROR(INDEX('05_MILESTONES'!$K$5:$K$34,MATCH(SMALL('05_MILESTONES'!$M$5:$M$34,7),'05_MILESTONES'!$M$5:$M$34,0)),"")</f>
        <v/>
      </c>
      <c r="P36" s="26">
        <f>IFERROR(INDEX('02_PROJECT_PORTFOLIO'!$C$5:$C$34,MATCH(5,'02_PROJECT_PORTFOLIO'!$Y$5:$Y$34,0)),"")</f>
        <v/>
      </c>
      <c r="Q36" s="35">
        <f>IF($P36="","",IFERROR(MAX(0,MIN(1,(TODAY()-INDEX('02_PROJECT_PORTFOLIO'!$H$5:$H$34,MATCH($P36,'02_PROJECT_PORTFOLIO'!$C$5:$C$34,0)))/(INDEX('02_PROJECT_PORTFOLIO'!$I$5:$I$34,MATCH($P36,'02_PROJECT_PORTFOLIO'!$C$5:$C$34,0))-INDEX('02_PROJECT_PORTFOLIO'!$H$5:$H$34,MATCH($P36,'02_PROJECT_PORTFOLIO'!$C$5:$C$34,0))))),""))</f>
        <v/>
      </c>
      <c r="R36" s="35">
        <f>IF($P36="","",INDEX('02_PROJECT_PORTFOLIO'!$L$5:$L$34,MATCH($P36,'02_PROJECT_PORTFOLIO'!$C$5:$C$34,0)))</f>
        <v/>
      </c>
    </row>
    <row r="37" ht="16" customHeight="1">
      <c r="A37" s="33">
        <f>IFERROR(INDEX('05_MILESTONES'!$C$5:$C$34,MATCH(SMALL('05_MILESTONES'!$M$5:$M$34,8),'05_MILESTONES'!$M$5:$M$34,0)),"")</f>
        <v/>
      </c>
      <c r="B37" s="14" t="n"/>
      <c r="C37" s="14" t="n"/>
      <c r="D37" s="14" t="n"/>
      <c r="E37" s="33">
        <f>IFERROR(INDEX('05_MILESTONES'!$B$5:$B$34,MATCH(SMALL('05_MILESTONES'!$M$5:$M$34,8),'05_MILESTONES'!$M$5:$M$34,0)),"")</f>
        <v/>
      </c>
      <c r="F37" s="14" t="n"/>
      <c r="G37" s="14" t="n"/>
      <c r="H37" s="33">
        <f>IFERROR(INDEX('05_MILESTONES'!$D$5:$D$34,MATCH(SMALL('05_MILESTONES'!$M$5:$M$34,8),'05_MILESTONES'!$M$5:$M$34,0)),"")</f>
        <v/>
      </c>
      <c r="I37" s="14" t="n"/>
      <c r="J37" s="38">
        <f>IFERROR(INDEX('05_MILESTONES'!$F$5:$F$34,MATCH(SMALL('05_MILESTONES'!$M$5:$M$34,8),'05_MILESTONES'!$M$5:$M$34,0)),"")</f>
        <v/>
      </c>
      <c r="K37" s="14" t="n"/>
      <c r="L37" s="39">
        <f>IFERROR(INDEX('05_MILESTONES'!$I$5:$I$34,MATCH(SMALL('05_MILESTONES'!$M$5:$M$34,8),'05_MILESTONES'!$M$5:$M$34,0)),"")</f>
        <v/>
      </c>
      <c r="M37" s="14" t="n"/>
      <c r="N37" s="40">
        <f>IFERROR(INDEX('05_MILESTONES'!$K$5:$K$34,MATCH(SMALL('05_MILESTONES'!$M$5:$M$34,8),'05_MILESTONES'!$M$5:$M$34,0)),"")</f>
        <v/>
      </c>
      <c r="P37" s="26">
        <f>IFERROR(INDEX('02_PROJECT_PORTFOLIO'!$C$5:$C$34,MATCH(6,'02_PROJECT_PORTFOLIO'!$Y$5:$Y$34,0)),"")</f>
        <v/>
      </c>
      <c r="Q37" s="35">
        <f>IF($P37="","",IFERROR(MAX(0,MIN(1,(TODAY()-INDEX('02_PROJECT_PORTFOLIO'!$H$5:$H$34,MATCH($P37,'02_PROJECT_PORTFOLIO'!$C$5:$C$34,0)))/(INDEX('02_PROJECT_PORTFOLIO'!$I$5:$I$34,MATCH($P37,'02_PROJECT_PORTFOLIO'!$C$5:$C$34,0))-INDEX('02_PROJECT_PORTFOLIO'!$H$5:$H$34,MATCH($P37,'02_PROJECT_PORTFOLIO'!$C$5:$C$34,0))))),""))</f>
        <v/>
      </c>
      <c r="R37" s="35">
        <f>IF($P37="","",INDEX('02_PROJECT_PORTFOLIO'!$L$5:$L$34,MATCH($P37,'02_PROJECT_PORTFOLIO'!$C$5:$C$34,0)))</f>
        <v/>
      </c>
    </row>
    <row r="38" ht="16" customHeight="1">
      <c r="A38" s="33">
        <f>IFERROR(INDEX('05_MILESTONES'!$C$5:$C$34,MATCH(SMALL('05_MILESTONES'!$M$5:$M$34,9),'05_MILESTONES'!$M$5:$M$34,0)),"")</f>
        <v/>
      </c>
      <c r="B38" s="14" t="n"/>
      <c r="C38" s="14" t="n"/>
      <c r="D38" s="14" t="n"/>
      <c r="E38" s="33">
        <f>IFERROR(INDEX('05_MILESTONES'!$B$5:$B$34,MATCH(SMALL('05_MILESTONES'!$M$5:$M$34,9),'05_MILESTONES'!$M$5:$M$34,0)),"")</f>
        <v/>
      </c>
      <c r="F38" s="14" t="n"/>
      <c r="G38" s="14" t="n"/>
      <c r="H38" s="33">
        <f>IFERROR(INDEX('05_MILESTONES'!$D$5:$D$34,MATCH(SMALL('05_MILESTONES'!$M$5:$M$34,9),'05_MILESTONES'!$M$5:$M$34,0)),"")</f>
        <v/>
      </c>
      <c r="I38" s="14" t="n"/>
      <c r="J38" s="38">
        <f>IFERROR(INDEX('05_MILESTONES'!$F$5:$F$34,MATCH(SMALL('05_MILESTONES'!$M$5:$M$34,9),'05_MILESTONES'!$M$5:$M$34,0)),"")</f>
        <v/>
      </c>
      <c r="K38" s="14" t="n"/>
      <c r="L38" s="39">
        <f>IFERROR(INDEX('05_MILESTONES'!$I$5:$I$34,MATCH(SMALL('05_MILESTONES'!$M$5:$M$34,9),'05_MILESTONES'!$M$5:$M$34,0)),"")</f>
        <v/>
      </c>
      <c r="M38" s="14" t="n"/>
      <c r="N38" s="40">
        <f>IFERROR(INDEX('05_MILESTONES'!$K$5:$K$34,MATCH(SMALL('05_MILESTONES'!$M$5:$M$34,9),'05_MILESTONES'!$M$5:$M$34,0)),"")</f>
        <v/>
      </c>
      <c r="P38" s="26">
        <f>IFERROR(INDEX('02_PROJECT_PORTFOLIO'!$C$5:$C$34,MATCH(7,'02_PROJECT_PORTFOLIO'!$Y$5:$Y$34,0)),"")</f>
        <v/>
      </c>
      <c r="Q38" s="35">
        <f>IF($P38="","",IFERROR(MAX(0,MIN(1,(TODAY()-INDEX('02_PROJECT_PORTFOLIO'!$H$5:$H$34,MATCH($P38,'02_PROJECT_PORTFOLIO'!$C$5:$C$34,0)))/(INDEX('02_PROJECT_PORTFOLIO'!$I$5:$I$34,MATCH($P38,'02_PROJECT_PORTFOLIO'!$C$5:$C$34,0))-INDEX('02_PROJECT_PORTFOLIO'!$H$5:$H$34,MATCH($P38,'02_PROJECT_PORTFOLIO'!$C$5:$C$34,0))))),""))</f>
        <v/>
      </c>
      <c r="R38" s="35">
        <f>IF($P38="","",INDEX('02_PROJECT_PORTFOLIO'!$L$5:$L$34,MATCH($P38,'02_PROJECT_PORTFOLIO'!$C$5:$C$34,0)))</f>
        <v/>
      </c>
    </row>
    <row r="39" ht="16" customHeight="1">
      <c r="A39" s="33">
        <f>IFERROR(INDEX('05_MILESTONES'!$C$5:$C$34,MATCH(SMALL('05_MILESTONES'!$M$5:$M$34,10),'05_MILESTONES'!$M$5:$M$34,0)),"")</f>
        <v/>
      </c>
      <c r="B39" s="14" t="n"/>
      <c r="C39" s="14" t="n"/>
      <c r="D39" s="14" t="n"/>
      <c r="E39" s="33">
        <f>IFERROR(INDEX('05_MILESTONES'!$B$5:$B$34,MATCH(SMALL('05_MILESTONES'!$M$5:$M$34,10),'05_MILESTONES'!$M$5:$M$34,0)),"")</f>
        <v/>
      </c>
      <c r="F39" s="14" t="n"/>
      <c r="G39" s="14" t="n"/>
      <c r="H39" s="33">
        <f>IFERROR(INDEX('05_MILESTONES'!$D$5:$D$34,MATCH(SMALL('05_MILESTONES'!$M$5:$M$34,10),'05_MILESTONES'!$M$5:$M$34,0)),"")</f>
        <v/>
      </c>
      <c r="I39" s="14" t="n"/>
      <c r="J39" s="38">
        <f>IFERROR(INDEX('05_MILESTONES'!$F$5:$F$34,MATCH(SMALL('05_MILESTONES'!$M$5:$M$34,10),'05_MILESTONES'!$M$5:$M$34,0)),"")</f>
        <v/>
      </c>
      <c r="K39" s="14" t="n"/>
      <c r="L39" s="39">
        <f>IFERROR(INDEX('05_MILESTONES'!$I$5:$I$34,MATCH(SMALL('05_MILESTONES'!$M$5:$M$34,10),'05_MILESTONES'!$M$5:$M$34,0)),"")</f>
        <v/>
      </c>
      <c r="M39" s="14" t="n"/>
      <c r="N39" s="40">
        <f>IFERROR(INDEX('05_MILESTONES'!$K$5:$K$34,MATCH(SMALL('05_MILESTONES'!$M$5:$M$34,10),'05_MILESTONES'!$M$5:$M$34,0)),"")</f>
        <v/>
      </c>
      <c r="P39" s="26">
        <f>IFERROR(INDEX('02_PROJECT_PORTFOLIO'!$C$5:$C$34,MATCH(8,'02_PROJECT_PORTFOLIO'!$Y$5:$Y$34,0)),"")</f>
        <v/>
      </c>
      <c r="Q39" s="35">
        <f>IF($P39="","",IFERROR(MAX(0,MIN(1,(TODAY()-INDEX('02_PROJECT_PORTFOLIO'!$H$5:$H$34,MATCH($P39,'02_PROJECT_PORTFOLIO'!$C$5:$C$34,0)))/(INDEX('02_PROJECT_PORTFOLIO'!$I$5:$I$34,MATCH($P39,'02_PROJECT_PORTFOLIO'!$C$5:$C$34,0))-INDEX('02_PROJECT_PORTFOLIO'!$H$5:$H$34,MATCH($P39,'02_PROJECT_PORTFOLIO'!$C$5:$C$34,0))))),""))</f>
        <v/>
      </c>
      <c r="R39" s="35">
        <f>IF($P39="","",INDEX('02_PROJECT_PORTFOLIO'!$L$5:$L$34,MATCH($P39,'02_PROJECT_PORTFOLIO'!$C$5:$C$34,0)))</f>
        <v/>
      </c>
    </row>
    <row r="40">
      <c r="P40" s="26">
        <f>IFERROR(INDEX('02_PROJECT_PORTFOLIO'!$C$5:$C$34,MATCH(9,'02_PROJECT_PORTFOLIO'!$Y$5:$Y$34,0)),"")</f>
        <v/>
      </c>
      <c r="Q40" s="35">
        <f>IF($P40="","",IFERROR(MAX(0,MIN(1,(TODAY()-INDEX('02_PROJECT_PORTFOLIO'!$H$5:$H$34,MATCH($P40,'02_PROJECT_PORTFOLIO'!$C$5:$C$34,0)))/(INDEX('02_PROJECT_PORTFOLIO'!$I$5:$I$34,MATCH($P40,'02_PROJECT_PORTFOLIO'!$C$5:$C$34,0))-INDEX('02_PROJECT_PORTFOLIO'!$H$5:$H$34,MATCH($P40,'02_PROJECT_PORTFOLIO'!$C$5:$C$34,0))))),""))</f>
        <v/>
      </c>
      <c r="R40" s="35">
        <f>IF($P40="","",INDEX('02_PROJECT_PORTFOLIO'!$L$5:$L$34,MATCH($P40,'02_PROJECT_PORTFOLIO'!$C$5:$C$34,0)))</f>
        <v/>
      </c>
    </row>
    <row r="41" ht="20" customHeight="1">
      <c r="A41" s="6" t="inlineStr">
        <is>
          <t>PORTFOLIO FILTER VIEW -  PROJECT  |  STATUS  |  RAG  |  MANAGER / DEPARTMENT  |  TIMELINE  |  PROGRESS  |  BUDGET / ACTUAL  |  NEXT MILESTONE</t>
        </is>
      </c>
      <c r="P41" s="26">
        <f>IFERROR(INDEX('02_PROJECT_PORTFOLIO'!$C$5:$C$34,MATCH(10,'02_PROJECT_PORTFOLIO'!$Y$5:$Y$34,0)),"")</f>
        <v/>
      </c>
      <c r="Q41" s="35">
        <f>IF($P41="","",IFERROR(MAX(0,MIN(1,(TODAY()-INDEX('02_PROJECT_PORTFOLIO'!$H$5:$H$34,MATCH($P41,'02_PROJECT_PORTFOLIO'!$C$5:$C$34,0)))/(INDEX('02_PROJECT_PORTFOLIO'!$I$5:$I$34,MATCH($P41,'02_PROJECT_PORTFOLIO'!$C$5:$C$34,0))-INDEX('02_PROJECT_PORTFOLIO'!$H$5:$H$34,MATCH($P41,'02_PROJECT_PORTFOLIO'!$C$5:$C$34,0))))),""))</f>
        <v/>
      </c>
      <c r="R41" s="35">
        <f>IF($P41="","",INDEX('02_PROJECT_PORTFOLIO'!$L$5:$L$34,MATCH($P41,'02_PROJECT_PORTFOLIO'!$C$5:$C$34,0)))</f>
        <v/>
      </c>
    </row>
    <row r="42" ht="24" customHeight="1">
      <c r="A42" s="41" t="inlineStr">
        <is>
          <t>FILTER BY:</t>
        </is>
      </c>
      <c r="B42" s="10" t="n"/>
      <c r="C42" s="42" t="inlineStr">
        <is>
          <t>All</t>
        </is>
      </c>
      <c r="D42" s="41" t="inlineStr">
        <is>
          <t>RAG:</t>
        </is>
      </c>
      <c r="E42" s="10" t="n"/>
      <c r="F42" s="42" t="inlineStr">
        <is>
          <t>All</t>
        </is>
      </c>
      <c r="G42" s="41" t="inlineStr">
        <is>
          <t>MANAGER:</t>
        </is>
      </c>
      <c r="H42" s="10" t="n"/>
      <c r="I42" s="42" t="inlineStr">
        <is>
          <t>All</t>
        </is>
      </c>
      <c r="J42" s="43">
        <f>COUNTIF('02_PROJECT_PORTFOLIO'!$AA$5:$AA$34,"&gt;0")&amp;" OF "&amp;COUNTIF('02_PROJECT_PORTFOLIO'!$C$5:$C$34,"?*")&amp;" PROJECTS SHOWN"</f>
        <v/>
      </c>
      <c r="K42" s="12" t="n"/>
      <c r="L42" s="12" t="n"/>
      <c r="M42" s="44">
        <f>HYPERLINK("#'02_PROJECT_PORTFOLIO'!A1","OPEN FULL PORTFOLIO")</f>
        <v/>
      </c>
      <c r="N42" s="8" t="n"/>
    </row>
    <row r="43" ht="26" customHeight="1">
      <c r="A43" s="36" t="inlineStr">
        <is>
          <t>PROJECT</t>
        </is>
      </c>
      <c r="B43" s="37" t="n"/>
      <c r="C43" s="36" t="inlineStr">
        <is>
          <t>STATUS</t>
        </is>
      </c>
      <c r="D43" s="36" t="inlineStr">
        <is>
          <t>RAG</t>
        </is>
      </c>
      <c r="E43" s="36" t="inlineStr">
        <is>
          <t>MANAGER / DEPARTMENT</t>
        </is>
      </c>
      <c r="F43" s="37" t="n"/>
      <c r="G43" s="36" t="inlineStr">
        <is>
          <t>TIMELINE</t>
        </is>
      </c>
      <c r="H43" s="37" t="n"/>
      <c r="I43" s="36" t="inlineStr">
        <is>
          <t>PROGRESS</t>
        </is>
      </c>
      <c r="J43" s="36" t="inlineStr">
        <is>
          <t>BUDGET / ACTUAL</t>
        </is>
      </c>
      <c r="K43" s="37" t="n"/>
      <c r="L43" s="36" t="inlineStr">
        <is>
          <t>NEXT MILESTONE</t>
        </is>
      </c>
      <c r="M43" s="37" t="n"/>
      <c r="N43" s="37" t="n"/>
      <c r="P43" s="21" t="inlineStr">
        <is>
          <t>BLOCK 5 - APPROVED / ACTUAL / FORECAST</t>
        </is>
      </c>
      <c r="Q43" s="22" t="n"/>
      <c r="R43" s="22" t="n"/>
      <c r="S43" s="22" t="n"/>
      <c r="T43" s="22" t="n"/>
    </row>
    <row r="44" ht="26" customHeight="1">
      <c r="A44" s="33">
        <f>IFERROR(INDEX('02_PROJECT_PORTFOLIO'!$A$5:$A$34,MATCH(1,'02_PROJECT_PORTFOLIO'!$AA$5:$AA$34,0))&amp;"   "&amp;INDEX('02_PROJECT_PORTFOLIO'!$C$5:$C$34,MATCH(1,'02_PROJECT_PORTFOLIO'!$AA$5:$AA$34,0)),"")</f>
        <v/>
      </c>
      <c r="B44" s="14" t="n"/>
      <c r="C44" s="45">
        <f>IFERROR(INDEX('02_PROJECT_PORTFOLIO'!$M$5:$M$34,MATCH(1,'02_PROJECT_PORTFOLIO'!$AA$5:$AA$34,0)),"")</f>
        <v/>
      </c>
      <c r="D44" s="40">
        <f>IFERROR(INDEX('02_PROJECT_PORTFOLIO'!$N$5:$N$34,MATCH(1,'02_PROJECT_PORTFOLIO'!$AA$5:$AA$34,0)),"")</f>
        <v/>
      </c>
      <c r="E44" s="33">
        <f>IFERROR(INDEX('02_PROJECT_PORTFOLIO'!$D$5:$D$34,MATCH(1,'02_PROJECT_PORTFOLIO'!$AA$5:$AA$34,0))&amp;" / "&amp;INDEX('02_PROJECT_PORTFOLIO'!$E$5:$E$34,MATCH(1,'02_PROJECT_PORTFOLIO'!$AA$5:$AA$34,0)),"")</f>
        <v/>
      </c>
      <c r="F44" s="14" t="n"/>
      <c r="G44" s="33">
        <f>IFERROR(INDEX('02_PROJECT_PORTFOLIO'!$AB$5:$AB$34,MATCH(1,'02_PROJECT_PORTFOLIO'!$AA$5:$AA$34,0)),"")</f>
        <v/>
      </c>
      <c r="H44" s="14" t="n"/>
      <c r="I44" s="46">
        <f>IFERROR(INDEX('02_PROJECT_PORTFOLIO'!$L$5:$L$34,MATCH(1,'02_PROJECT_PORTFOLIO'!$AA$5:$AA$34,0)),"")</f>
        <v/>
      </c>
      <c r="J44" s="45">
        <f>IFERROR(INDEX('02_PROJECT_PORTFOLIO'!$AC$5:$AC$34,MATCH(1,'02_PROJECT_PORTFOLIO'!$AA$5:$AA$34,0)),"")</f>
        <v/>
      </c>
      <c r="K44" s="14" t="n"/>
      <c r="L44" s="33">
        <f>IFERROR(INDEX('02_PROJECT_PORTFOLIO'!$T$5:$T$34,MATCH(1,'02_PROJECT_PORTFOLIO'!$AA$5:$AA$34,0))&amp;IF(INDEX('02_PROJECT_PORTFOLIO'!$U$5:$U$34,MATCH(1,'02_PROJECT_PORTFOLIO'!$AA$5:$AA$34,0))="","","   ("&amp;TEXT(INDEX('02_PROJECT_PORTFOLIO'!$U$5:$U$34,MATCH(1,'02_PROJECT_PORTFOLIO'!$AA$5:$AA$34,0)),"dd-mmm-yy")&amp;")"),"")</f>
        <v/>
      </c>
      <c r="M44" s="14" t="n"/>
      <c r="N44" s="14" t="n"/>
      <c r="P44" s="23" t="inlineStr">
        <is>
          <t>Project</t>
        </is>
      </c>
      <c r="Q44" s="23" t="inlineStr">
        <is>
          <t>Approved</t>
        </is>
      </c>
      <c r="R44" s="23" t="inlineStr">
        <is>
          <t>Actual</t>
        </is>
      </c>
      <c r="S44" s="23" t="inlineStr">
        <is>
          <t>Forecast</t>
        </is>
      </c>
    </row>
    <row r="45" ht="16" customHeight="1">
      <c r="A45" s="33">
        <f>IFERROR(INDEX('02_PROJECT_PORTFOLIO'!$A$5:$A$34,MATCH(2,'02_PROJECT_PORTFOLIO'!$AA$5:$AA$34,0))&amp;"   "&amp;INDEX('02_PROJECT_PORTFOLIO'!$C$5:$C$34,MATCH(2,'02_PROJECT_PORTFOLIO'!$AA$5:$AA$34,0)),"")</f>
        <v/>
      </c>
      <c r="B45" s="14" t="n"/>
      <c r="C45" s="45">
        <f>IFERROR(INDEX('02_PROJECT_PORTFOLIO'!$M$5:$M$34,MATCH(2,'02_PROJECT_PORTFOLIO'!$AA$5:$AA$34,0)),"")</f>
        <v/>
      </c>
      <c r="D45" s="40">
        <f>IFERROR(INDEX('02_PROJECT_PORTFOLIO'!$N$5:$N$34,MATCH(2,'02_PROJECT_PORTFOLIO'!$AA$5:$AA$34,0)),"")</f>
        <v/>
      </c>
      <c r="E45" s="33">
        <f>IFERROR(INDEX('02_PROJECT_PORTFOLIO'!$D$5:$D$34,MATCH(2,'02_PROJECT_PORTFOLIO'!$AA$5:$AA$34,0))&amp;" / "&amp;INDEX('02_PROJECT_PORTFOLIO'!$E$5:$E$34,MATCH(2,'02_PROJECT_PORTFOLIO'!$AA$5:$AA$34,0)),"")</f>
        <v/>
      </c>
      <c r="F45" s="14" t="n"/>
      <c r="G45" s="33">
        <f>IFERROR(INDEX('02_PROJECT_PORTFOLIO'!$AB$5:$AB$34,MATCH(2,'02_PROJECT_PORTFOLIO'!$AA$5:$AA$34,0)),"")</f>
        <v/>
      </c>
      <c r="H45" s="14" t="n"/>
      <c r="I45" s="46">
        <f>IFERROR(INDEX('02_PROJECT_PORTFOLIO'!$L$5:$L$34,MATCH(2,'02_PROJECT_PORTFOLIO'!$AA$5:$AA$34,0)),"")</f>
        <v/>
      </c>
      <c r="J45" s="45">
        <f>IFERROR(INDEX('02_PROJECT_PORTFOLIO'!$AC$5:$AC$34,MATCH(2,'02_PROJECT_PORTFOLIO'!$AA$5:$AA$34,0)),"")</f>
        <v/>
      </c>
      <c r="K45" s="14" t="n"/>
      <c r="L45" s="33">
        <f>IFERROR(INDEX('02_PROJECT_PORTFOLIO'!$T$5:$T$34,MATCH(2,'02_PROJECT_PORTFOLIO'!$AA$5:$AA$34,0))&amp;IF(INDEX('02_PROJECT_PORTFOLIO'!$U$5:$U$34,MATCH(2,'02_PROJECT_PORTFOLIO'!$AA$5:$AA$34,0))="","","   ("&amp;TEXT(INDEX('02_PROJECT_PORTFOLIO'!$U$5:$U$34,MATCH(2,'02_PROJECT_PORTFOLIO'!$AA$5:$AA$34,0)),"dd-mmm-yy")&amp;")"),"")</f>
        <v/>
      </c>
      <c r="M45" s="14" t="n"/>
      <c r="N45" s="14" t="n"/>
      <c r="P45" s="26">
        <f>IFERROR(INDEX('02_PROJECT_PORTFOLIO'!$C$5:$C$34,MATCH(1,'02_PROJECT_PORTFOLIO'!$Y$5:$Y$34,0)),"")</f>
        <v/>
      </c>
      <c r="Q45" s="47">
        <f>IF($P45="","",INDEX('02_PROJECT_PORTFOLIO'!$O$5:$O$34,MATCH($P45,'02_PROJECT_PORTFOLIO'!$C$5:$C$34,0)))</f>
        <v/>
      </c>
      <c r="R45" s="47">
        <f>IF($P45="","",INDEX('02_PROJECT_PORTFOLIO'!$P$5:$P$34,MATCH($P45,'02_PROJECT_PORTFOLIO'!$C$5:$C$34,0)))</f>
        <v/>
      </c>
      <c r="S45" s="47">
        <f>IF($P45="","",INDEX('02_PROJECT_PORTFOLIO'!$Q$5:$Q$34,MATCH($P45,'02_PROJECT_PORTFOLIO'!$C$5:$C$34,0)))</f>
        <v/>
      </c>
    </row>
    <row r="46" ht="16" customHeight="1">
      <c r="A46" s="33">
        <f>IFERROR(INDEX('02_PROJECT_PORTFOLIO'!$A$5:$A$34,MATCH(3,'02_PROJECT_PORTFOLIO'!$AA$5:$AA$34,0))&amp;"   "&amp;INDEX('02_PROJECT_PORTFOLIO'!$C$5:$C$34,MATCH(3,'02_PROJECT_PORTFOLIO'!$AA$5:$AA$34,0)),"")</f>
        <v/>
      </c>
      <c r="B46" s="14" t="n"/>
      <c r="C46" s="45">
        <f>IFERROR(INDEX('02_PROJECT_PORTFOLIO'!$M$5:$M$34,MATCH(3,'02_PROJECT_PORTFOLIO'!$AA$5:$AA$34,0)),"")</f>
        <v/>
      </c>
      <c r="D46" s="40">
        <f>IFERROR(INDEX('02_PROJECT_PORTFOLIO'!$N$5:$N$34,MATCH(3,'02_PROJECT_PORTFOLIO'!$AA$5:$AA$34,0)),"")</f>
        <v/>
      </c>
      <c r="E46" s="33">
        <f>IFERROR(INDEX('02_PROJECT_PORTFOLIO'!$D$5:$D$34,MATCH(3,'02_PROJECT_PORTFOLIO'!$AA$5:$AA$34,0))&amp;" / "&amp;INDEX('02_PROJECT_PORTFOLIO'!$E$5:$E$34,MATCH(3,'02_PROJECT_PORTFOLIO'!$AA$5:$AA$34,0)),"")</f>
        <v/>
      </c>
      <c r="F46" s="14" t="n"/>
      <c r="G46" s="33">
        <f>IFERROR(INDEX('02_PROJECT_PORTFOLIO'!$AB$5:$AB$34,MATCH(3,'02_PROJECT_PORTFOLIO'!$AA$5:$AA$34,0)),"")</f>
        <v/>
      </c>
      <c r="H46" s="14" t="n"/>
      <c r="I46" s="46">
        <f>IFERROR(INDEX('02_PROJECT_PORTFOLIO'!$L$5:$L$34,MATCH(3,'02_PROJECT_PORTFOLIO'!$AA$5:$AA$34,0)),"")</f>
        <v/>
      </c>
      <c r="J46" s="45">
        <f>IFERROR(INDEX('02_PROJECT_PORTFOLIO'!$AC$5:$AC$34,MATCH(3,'02_PROJECT_PORTFOLIO'!$AA$5:$AA$34,0)),"")</f>
        <v/>
      </c>
      <c r="K46" s="14" t="n"/>
      <c r="L46" s="33">
        <f>IFERROR(INDEX('02_PROJECT_PORTFOLIO'!$T$5:$T$34,MATCH(3,'02_PROJECT_PORTFOLIO'!$AA$5:$AA$34,0))&amp;IF(INDEX('02_PROJECT_PORTFOLIO'!$U$5:$U$34,MATCH(3,'02_PROJECT_PORTFOLIO'!$AA$5:$AA$34,0))="","","   ("&amp;TEXT(INDEX('02_PROJECT_PORTFOLIO'!$U$5:$U$34,MATCH(3,'02_PROJECT_PORTFOLIO'!$AA$5:$AA$34,0)),"dd-mmm-yy")&amp;")"),"")</f>
        <v/>
      </c>
      <c r="M46" s="14" t="n"/>
      <c r="N46" s="14" t="n"/>
      <c r="P46" s="26">
        <f>IFERROR(INDEX('02_PROJECT_PORTFOLIO'!$C$5:$C$34,MATCH(2,'02_PROJECT_PORTFOLIO'!$Y$5:$Y$34,0)),"")</f>
        <v/>
      </c>
      <c r="Q46" s="47">
        <f>IF($P46="","",INDEX('02_PROJECT_PORTFOLIO'!$O$5:$O$34,MATCH($P46,'02_PROJECT_PORTFOLIO'!$C$5:$C$34,0)))</f>
        <v/>
      </c>
      <c r="R46" s="47">
        <f>IF($P46="","",INDEX('02_PROJECT_PORTFOLIO'!$P$5:$P$34,MATCH($P46,'02_PROJECT_PORTFOLIO'!$C$5:$C$34,0)))</f>
        <v/>
      </c>
      <c r="S46" s="47">
        <f>IF($P46="","",INDEX('02_PROJECT_PORTFOLIO'!$Q$5:$Q$34,MATCH($P46,'02_PROJECT_PORTFOLIO'!$C$5:$C$34,0)))</f>
        <v/>
      </c>
    </row>
    <row r="47" ht="16" customHeight="1">
      <c r="A47" s="33">
        <f>IFERROR(INDEX('02_PROJECT_PORTFOLIO'!$A$5:$A$34,MATCH(4,'02_PROJECT_PORTFOLIO'!$AA$5:$AA$34,0))&amp;"   "&amp;INDEX('02_PROJECT_PORTFOLIO'!$C$5:$C$34,MATCH(4,'02_PROJECT_PORTFOLIO'!$AA$5:$AA$34,0)),"")</f>
        <v/>
      </c>
      <c r="B47" s="14" t="n"/>
      <c r="C47" s="45">
        <f>IFERROR(INDEX('02_PROJECT_PORTFOLIO'!$M$5:$M$34,MATCH(4,'02_PROJECT_PORTFOLIO'!$AA$5:$AA$34,0)),"")</f>
        <v/>
      </c>
      <c r="D47" s="40">
        <f>IFERROR(INDEX('02_PROJECT_PORTFOLIO'!$N$5:$N$34,MATCH(4,'02_PROJECT_PORTFOLIO'!$AA$5:$AA$34,0)),"")</f>
        <v/>
      </c>
      <c r="E47" s="33">
        <f>IFERROR(INDEX('02_PROJECT_PORTFOLIO'!$D$5:$D$34,MATCH(4,'02_PROJECT_PORTFOLIO'!$AA$5:$AA$34,0))&amp;" / "&amp;INDEX('02_PROJECT_PORTFOLIO'!$E$5:$E$34,MATCH(4,'02_PROJECT_PORTFOLIO'!$AA$5:$AA$34,0)),"")</f>
        <v/>
      </c>
      <c r="F47" s="14" t="n"/>
      <c r="G47" s="33">
        <f>IFERROR(INDEX('02_PROJECT_PORTFOLIO'!$AB$5:$AB$34,MATCH(4,'02_PROJECT_PORTFOLIO'!$AA$5:$AA$34,0)),"")</f>
        <v/>
      </c>
      <c r="H47" s="14" t="n"/>
      <c r="I47" s="46">
        <f>IFERROR(INDEX('02_PROJECT_PORTFOLIO'!$L$5:$L$34,MATCH(4,'02_PROJECT_PORTFOLIO'!$AA$5:$AA$34,0)),"")</f>
        <v/>
      </c>
      <c r="J47" s="45">
        <f>IFERROR(INDEX('02_PROJECT_PORTFOLIO'!$AC$5:$AC$34,MATCH(4,'02_PROJECT_PORTFOLIO'!$AA$5:$AA$34,0)),"")</f>
        <v/>
      </c>
      <c r="K47" s="14" t="n"/>
      <c r="L47" s="33">
        <f>IFERROR(INDEX('02_PROJECT_PORTFOLIO'!$T$5:$T$34,MATCH(4,'02_PROJECT_PORTFOLIO'!$AA$5:$AA$34,0))&amp;IF(INDEX('02_PROJECT_PORTFOLIO'!$U$5:$U$34,MATCH(4,'02_PROJECT_PORTFOLIO'!$AA$5:$AA$34,0))="","","   ("&amp;TEXT(INDEX('02_PROJECT_PORTFOLIO'!$U$5:$U$34,MATCH(4,'02_PROJECT_PORTFOLIO'!$AA$5:$AA$34,0)),"dd-mmm-yy")&amp;")"),"")</f>
        <v/>
      </c>
      <c r="M47" s="14" t="n"/>
      <c r="N47" s="14" t="n"/>
      <c r="P47" s="26">
        <f>IFERROR(INDEX('02_PROJECT_PORTFOLIO'!$C$5:$C$34,MATCH(3,'02_PROJECT_PORTFOLIO'!$Y$5:$Y$34,0)),"")</f>
        <v/>
      </c>
      <c r="Q47" s="47">
        <f>IF($P47="","",INDEX('02_PROJECT_PORTFOLIO'!$O$5:$O$34,MATCH($P47,'02_PROJECT_PORTFOLIO'!$C$5:$C$34,0)))</f>
        <v/>
      </c>
      <c r="R47" s="47">
        <f>IF($P47="","",INDEX('02_PROJECT_PORTFOLIO'!$P$5:$P$34,MATCH($P47,'02_PROJECT_PORTFOLIO'!$C$5:$C$34,0)))</f>
        <v/>
      </c>
      <c r="S47" s="47">
        <f>IF($P47="","",INDEX('02_PROJECT_PORTFOLIO'!$Q$5:$Q$34,MATCH($P47,'02_PROJECT_PORTFOLIO'!$C$5:$C$34,0)))</f>
        <v/>
      </c>
    </row>
    <row r="48" ht="16" customHeight="1">
      <c r="A48" s="33">
        <f>IFERROR(INDEX('02_PROJECT_PORTFOLIO'!$A$5:$A$34,MATCH(5,'02_PROJECT_PORTFOLIO'!$AA$5:$AA$34,0))&amp;"   "&amp;INDEX('02_PROJECT_PORTFOLIO'!$C$5:$C$34,MATCH(5,'02_PROJECT_PORTFOLIO'!$AA$5:$AA$34,0)),"")</f>
        <v/>
      </c>
      <c r="B48" s="14" t="n"/>
      <c r="C48" s="45">
        <f>IFERROR(INDEX('02_PROJECT_PORTFOLIO'!$M$5:$M$34,MATCH(5,'02_PROJECT_PORTFOLIO'!$AA$5:$AA$34,0)),"")</f>
        <v/>
      </c>
      <c r="D48" s="40">
        <f>IFERROR(INDEX('02_PROJECT_PORTFOLIO'!$N$5:$N$34,MATCH(5,'02_PROJECT_PORTFOLIO'!$AA$5:$AA$34,0)),"")</f>
        <v/>
      </c>
      <c r="E48" s="33">
        <f>IFERROR(INDEX('02_PROJECT_PORTFOLIO'!$D$5:$D$34,MATCH(5,'02_PROJECT_PORTFOLIO'!$AA$5:$AA$34,0))&amp;" / "&amp;INDEX('02_PROJECT_PORTFOLIO'!$E$5:$E$34,MATCH(5,'02_PROJECT_PORTFOLIO'!$AA$5:$AA$34,0)),"")</f>
        <v/>
      </c>
      <c r="F48" s="14" t="n"/>
      <c r="G48" s="33">
        <f>IFERROR(INDEX('02_PROJECT_PORTFOLIO'!$AB$5:$AB$34,MATCH(5,'02_PROJECT_PORTFOLIO'!$AA$5:$AA$34,0)),"")</f>
        <v/>
      </c>
      <c r="H48" s="14" t="n"/>
      <c r="I48" s="46">
        <f>IFERROR(INDEX('02_PROJECT_PORTFOLIO'!$L$5:$L$34,MATCH(5,'02_PROJECT_PORTFOLIO'!$AA$5:$AA$34,0)),"")</f>
        <v/>
      </c>
      <c r="J48" s="45">
        <f>IFERROR(INDEX('02_PROJECT_PORTFOLIO'!$AC$5:$AC$34,MATCH(5,'02_PROJECT_PORTFOLIO'!$AA$5:$AA$34,0)),"")</f>
        <v/>
      </c>
      <c r="K48" s="14" t="n"/>
      <c r="L48" s="33">
        <f>IFERROR(INDEX('02_PROJECT_PORTFOLIO'!$T$5:$T$34,MATCH(5,'02_PROJECT_PORTFOLIO'!$AA$5:$AA$34,0))&amp;IF(INDEX('02_PROJECT_PORTFOLIO'!$U$5:$U$34,MATCH(5,'02_PROJECT_PORTFOLIO'!$AA$5:$AA$34,0))="","","   ("&amp;TEXT(INDEX('02_PROJECT_PORTFOLIO'!$U$5:$U$34,MATCH(5,'02_PROJECT_PORTFOLIO'!$AA$5:$AA$34,0)),"dd-mmm-yy")&amp;")"),"")</f>
        <v/>
      </c>
      <c r="M48" s="14" t="n"/>
      <c r="N48" s="14" t="n"/>
      <c r="P48" s="26">
        <f>IFERROR(INDEX('02_PROJECT_PORTFOLIO'!$C$5:$C$34,MATCH(4,'02_PROJECT_PORTFOLIO'!$Y$5:$Y$34,0)),"")</f>
        <v/>
      </c>
      <c r="Q48" s="47">
        <f>IF($P48="","",INDEX('02_PROJECT_PORTFOLIO'!$O$5:$O$34,MATCH($P48,'02_PROJECT_PORTFOLIO'!$C$5:$C$34,0)))</f>
        <v/>
      </c>
      <c r="R48" s="47">
        <f>IF($P48="","",INDEX('02_PROJECT_PORTFOLIO'!$P$5:$P$34,MATCH($P48,'02_PROJECT_PORTFOLIO'!$C$5:$C$34,0)))</f>
        <v/>
      </c>
      <c r="S48" s="47">
        <f>IF($P48="","",INDEX('02_PROJECT_PORTFOLIO'!$Q$5:$Q$34,MATCH($P48,'02_PROJECT_PORTFOLIO'!$C$5:$C$34,0)))</f>
        <v/>
      </c>
    </row>
    <row r="49" ht="16" customHeight="1">
      <c r="A49" s="33">
        <f>IFERROR(INDEX('02_PROJECT_PORTFOLIO'!$A$5:$A$34,MATCH(6,'02_PROJECT_PORTFOLIO'!$AA$5:$AA$34,0))&amp;"   "&amp;INDEX('02_PROJECT_PORTFOLIO'!$C$5:$C$34,MATCH(6,'02_PROJECT_PORTFOLIO'!$AA$5:$AA$34,0)),"")</f>
        <v/>
      </c>
      <c r="B49" s="14" t="n"/>
      <c r="C49" s="45">
        <f>IFERROR(INDEX('02_PROJECT_PORTFOLIO'!$M$5:$M$34,MATCH(6,'02_PROJECT_PORTFOLIO'!$AA$5:$AA$34,0)),"")</f>
        <v/>
      </c>
      <c r="D49" s="40">
        <f>IFERROR(INDEX('02_PROJECT_PORTFOLIO'!$N$5:$N$34,MATCH(6,'02_PROJECT_PORTFOLIO'!$AA$5:$AA$34,0)),"")</f>
        <v/>
      </c>
      <c r="E49" s="33">
        <f>IFERROR(INDEX('02_PROJECT_PORTFOLIO'!$D$5:$D$34,MATCH(6,'02_PROJECT_PORTFOLIO'!$AA$5:$AA$34,0))&amp;" / "&amp;INDEX('02_PROJECT_PORTFOLIO'!$E$5:$E$34,MATCH(6,'02_PROJECT_PORTFOLIO'!$AA$5:$AA$34,0)),"")</f>
        <v/>
      </c>
      <c r="F49" s="14" t="n"/>
      <c r="G49" s="33">
        <f>IFERROR(INDEX('02_PROJECT_PORTFOLIO'!$AB$5:$AB$34,MATCH(6,'02_PROJECT_PORTFOLIO'!$AA$5:$AA$34,0)),"")</f>
        <v/>
      </c>
      <c r="H49" s="14" t="n"/>
      <c r="I49" s="46">
        <f>IFERROR(INDEX('02_PROJECT_PORTFOLIO'!$L$5:$L$34,MATCH(6,'02_PROJECT_PORTFOLIO'!$AA$5:$AA$34,0)),"")</f>
        <v/>
      </c>
      <c r="J49" s="45">
        <f>IFERROR(INDEX('02_PROJECT_PORTFOLIO'!$AC$5:$AC$34,MATCH(6,'02_PROJECT_PORTFOLIO'!$AA$5:$AA$34,0)),"")</f>
        <v/>
      </c>
      <c r="K49" s="14" t="n"/>
      <c r="L49" s="33">
        <f>IFERROR(INDEX('02_PROJECT_PORTFOLIO'!$T$5:$T$34,MATCH(6,'02_PROJECT_PORTFOLIO'!$AA$5:$AA$34,0))&amp;IF(INDEX('02_PROJECT_PORTFOLIO'!$U$5:$U$34,MATCH(6,'02_PROJECT_PORTFOLIO'!$AA$5:$AA$34,0))="","","   ("&amp;TEXT(INDEX('02_PROJECT_PORTFOLIO'!$U$5:$U$34,MATCH(6,'02_PROJECT_PORTFOLIO'!$AA$5:$AA$34,0)),"dd-mmm-yy")&amp;")"),"")</f>
        <v/>
      </c>
      <c r="M49" s="14" t="n"/>
      <c r="N49" s="14" t="n"/>
      <c r="P49" s="26">
        <f>IFERROR(INDEX('02_PROJECT_PORTFOLIO'!$C$5:$C$34,MATCH(5,'02_PROJECT_PORTFOLIO'!$Y$5:$Y$34,0)),"")</f>
        <v/>
      </c>
      <c r="Q49" s="47">
        <f>IF($P49="","",INDEX('02_PROJECT_PORTFOLIO'!$O$5:$O$34,MATCH($P49,'02_PROJECT_PORTFOLIO'!$C$5:$C$34,0)))</f>
        <v/>
      </c>
      <c r="R49" s="47">
        <f>IF($P49="","",INDEX('02_PROJECT_PORTFOLIO'!$P$5:$P$34,MATCH($P49,'02_PROJECT_PORTFOLIO'!$C$5:$C$34,0)))</f>
        <v/>
      </c>
      <c r="S49" s="47">
        <f>IF($P49="","",INDEX('02_PROJECT_PORTFOLIO'!$Q$5:$Q$34,MATCH($P49,'02_PROJECT_PORTFOLIO'!$C$5:$C$34,0)))</f>
        <v/>
      </c>
    </row>
    <row r="50" ht="16" customHeight="1">
      <c r="A50" s="33">
        <f>IFERROR(INDEX('02_PROJECT_PORTFOLIO'!$A$5:$A$34,MATCH(7,'02_PROJECT_PORTFOLIO'!$AA$5:$AA$34,0))&amp;"   "&amp;INDEX('02_PROJECT_PORTFOLIO'!$C$5:$C$34,MATCH(7,'02_PROJECT_PORTFOLIO'!$AA$5:$AA$34,0)),"")</f>
        <v/>
      </c>
      <c r="B50" s="14" t="n"/>
      <c r="C50" s="45">
        <f>IFERROR(INDEX('02_PROJECT_PORTFOLIO'!$M$5:$M$34,MATCH(7,'02_PROJECT_PORTFOLIO'!$AA$5:$AA$34,0)),"")</f>
        <v/>
      </c>
      <c r="D50" s="40">
        <f>IFERROR(INDEX('02_PROJECT_PORTFOLIO'!$N$5:$N$34,MATCH(7,'02_PROJECT_PORTFOLIO'!$AA$5:$AA$34,0)),"")</f>
        <v/>
      </c>
      <c r="E50" s="33">
        <f>IFERROR(INDEX('02_PROJECT_PORTFOLIO'!$D$5:$D$34,MATCH(7,'02_PROJECT_PORTFOLIO'!$AA$5:$AA$34,0))&amp;" / "&amp;INDEX('02_PROJECT_PORTFOLIO'!$E$5:$E$34,MATCH(7,'02_PROJECT_PORTFOLIO'!$AA$5:$AA$34,0)),"")</f>
        <v/>
      </c>
      <c r="F50" s="14" t="n"/>
      <c r="G50" s="33">
        <f>IFERROR(INDEX('02_PROJECT_PORTFOLIO'!$AB$5:$AB$34,MATCH(7,'02_PROJECT_PORTFOLIO'!$AA$5:$AA$34,0)),"")</f>
        <v/>
      </c>
      <c r="H50" s="14" t="n"/>
      <c r="I50" s="46">
        <f>IFERROR(INDEX('02_PROJECT_PORTFOLIO'!$L$5:$L$34,MATCH(7,'02_PROJECT_PORTFOLIO'!$AA$5:$AA$34,0)),"")</f>
        <v/>
      </c>
      <c r="J50" s="45">
        <f>IFERROR(INDEX('02_PROJECT_PORTFOLIO'!$AC$5:$AC$34,MATCH(7,'02_PROJECT_PORTFOLIO'!$AA$5:$AA$34,0)),"")</f>
        <v/>
      </c>
      <c r="K50" s="14" t="n"/>
      <c r="L50" s="33">
        <f>IFERROR(INDEX('02_PROJECT_PORTFOLIO'!$T$5:$T$34,MATCH(7,'02_PROJECT_PORTFOLIO'!$AA$5:$AA$34,0))&amp;IF(INDEX('02_PROJECT_PORTFOLIO'!$U$5:$U$34,MATCH(7,'02_PROJECT_PORTFOLIO'!$AA$5:$AA$34,0))="","","   ("&amp;TEXT(INDEX('02_PROJECT_PORTFOLIO'!$U$5:$U$34,MATCH(7,'02_PROJECT_PORTFOLIO'!$AA$5:$AA$34,0)),"dd-mmm-yy")&amp;")"),"")</f>
        <v/>
      </c>
      <c r="M50" s="14" t="n"/>
      <c r="N50" s="14" t="n"/>
      <c r="P50" s="26">
        <f>IFERROR(INDEX('02_PROJECT_PORTFOLIO'!$C$5:$C$34,MATCH(6,'02_PROJECT_PORTFOLIO'!$Y$5:$Y$34,0)),"")</f>
        <v/>
      </c>
      <c r="Q50" s="47">
        <f>IF($P50="","",INDEX('02_PROJECT_PORTFOLIO'!$O$5:$O$34,MATCH($P50,'02_PROJECT_PORTFOLIO'!$C$5:$C$34,0)))</f>
        <v/>
      </c>
      <c r="R50" s="47">
        <f>IF($P50="","",INDEX('02_PROJECT_PORTFOLIO'!$P$5:$P$34,MATCH($P50,'02_PROJECT_PORTFOLIO'!$C$5:$C$34,0)))</f>
        <v/>
      </c>
      <c r="S50" s="47">
        <f>IF($P50="","",INDEX('02_PROJECT_PORTFOLIO'!$Q$5:$Q$34,MATCH($P50,'02_PROJECT_PORTFOLIO'!$C$5:$C$34,0)))</f>
        <v/>
      </c>
    </row>
    <row r="51" ht="16" customHeight="1">
      <c r="A51" s="33">
        <f>IFERROR(INDEX('02_PROJECT_PORTFOLIO'!$A$5:$A$34,MATCH(8,'02_PROJECT_PORTFOLIO'!$AA$5:$AA$34,0))&amp;"   "&amp;INDEX('02_PROJECT_PORTFOLIO'!$C$5:$C$34,MATCH(8,'02_PROJECT_PORTFOLIO'!$AA$5:$AA$34,0)),"")</f>
        <v/>
      </c>
      <c r="B51" s="14" t="n"/>
      <c r="C51" s="45">
        <f>IFERROR(INDEX('02_PROJECT_PORTFOLIO'!$M$5:$M$34,MATCH(8,'02_PROJECT_PORTFOLIO'!$AA$5:$AA$34,0)),"")</f>
        <v/>
      </c>
      <c r="D51" s="40">
        <f>IFERROR(INDEX('02_PROJECT_PORTFOLIO'!$N$5:$N$34,MATCH(8,'02_PROJECT_PORTFOLIO'!$AA$5:$AA$34,0)),"")</f>
        <v/>
      </c>
      <c r="E51" s="33">
        <f>IFERROR(INDEX('02_PROJECT_PORTFOLIO'!$D$5:$D$34,MATCH(8,'02_PROJECT_PORTFOLIO'!$AA$5:$AA$34,0))&amp;" / "&amp;INDEX('02_PROJECT_PORTFOLIO'!$E$5:$E$34,MATCH(8,'02_PROJECT_PORTFOLIO'!$AA$5:$AA$34,0)),"")</f>
        <v/>
      </c>
      <c r="F51" s="14" t="n"/>
      <c r="G51" s="33">
        <f>IFERROR(INDEX('02_PROJECT_PORTFOLIO'!$AB$5:$AB$34,MATCH(8,'02_PROJECT_PORTFOLIO'!$AA$5:$AA$34,0)),"")</f>
        <v/>
      </c>
      <c r="H51" s="14" t="n"/>
      <c r="I51" s="46">
        <f>IFERROR(INDEX('02_PROJECT_PORTFOLIO'!$L$5:$L$34,MATCH(8,'02_PROJECT_PORTFOLIO'!$AA$5:$AA$34,0)),"")</f>
        <v/>
      </c>
      <c r="J51" s="45">
        <f>IFERROR(INDEX('02_PROJECT_PORTFOLIO'!$AC$5:$AC$34,MATCH(8,'02_PROJECT_PORTFOLIO'!$AA$5:$AA$34,0)),"")</f>
        <v/>
      </c>
      <c r="K51" s="14" t="n"/>
      <c r="L51" s="33">
        <f>IFERROR(INDEX('02_PROJECT_PORTFOLIO'!$T$5:$T$34,MATCH(8,'02_PROJECT_PORTFOLIO'!$AA$5:$AA$34,0))&amp;IF(INDEX('02_PROJECT_PORTFOLIO'!$U$5:$U$34,MATCH(8,'02_PROJECT_PORTFOLIO'!$AA$5:$AA$34,0))="","","   ("&amp;TEXT(INDEX('02_PROJECT_PORTFOLIO'!$U$5:$U$34,MATCH(8,'02_PROJECT_PORTFOLIO'!$AA$5:$AA$34,0)),"dd-mmm-yy")&amp;")"),"")</f>
        <v/>
      </c>
      <c r="M51" s="14" t="n"/>
      <c r="N51" s="14" t="n"/>
      <c r="P51" s="26">
        <f>IFERROR(INDEX('02_PROJECT_PORTFOLIO'!$C$5:$C$34,MATCH(7,'02_PROJECT_PORTFOLIO'!$Y$5:$Y$34,0)),"")</f>
        <v/>
      </c>
      <c r="Q51" s="47">
        <f>IF($P51="","",INDEX('02_PROJECT_PORTFOLIO'!$O$5:$O$34,MATCH($P51,'02_PROJECT_PORTFOLIO'!$C$5:$C$34,0)))</f>
        <v/>
      </c>
      <c r="R51" s="47">
        <f>IF($P51="","",INDEX('02_PROJECT_PORTFOLIO'!$P$5:$P$34,MATCH($P51,'02_PROJECT_PORTFOLIO'!$C$5:$C$34,0)))</f>
        <v/>
      </c>
      <c r="S51" s="47">
        <f>IF($P51="","",INDEX('02_PROJECT_PORTFOLIO'!$Q$5:$Q$34,MATCH($P51,'02_PROJECT_PORTFOLIO'!$C$5:$C$34,0)))</f>
        <v/>
      </c>
    </row>
    <row r="52" ht="16" customHeight="1">
      <c r="A52" s="33">
        <f>IFERROR(INDEX('02_PROJECT_PORTFOLIO'!$A$5:$A$34,MATCH(9,'02_PROJECT_PORTFOLIO'!$AA$5:$AA$34,0))&amp;"   "&amp;INDEX('02_PROJECT_PORTFOLIO'!$C$5:$C$34,MATCH(9,'02_PROJECT_PORTFOLIO'!$AA$5:$AA$34,0)),"")</f>
        <v/>
      </c>
      <c r="B52" s="14" t="n"/>
      <c r="C52" s="45">
        <f>IFERROR(INDEX('02_PROJECT_PORTFOLIO'!$M$5:$M$34,MATCH(9,'02_PROJECT_PORTFOLIO'!$AA$5:$AA$34,0)),"")</f>
        <v/>
      </c>
      <c r="D52" s="40">
        <f>IFERROR(INDEX('02_PROJECT_PORTFOLIO'!$N$5:$N$34,MATCH(9,'02_PROJECT_PORTFOLIO'!$AA$5:$AA$34,0)),"")</f>
        <v/>
      </c>
      <c r="E52" s="33">
        <f>IFERROR(INDEX('02_PROJECT_PORTFOLIO'!$D$5:$D$34,MATCH(9,'02_PROJECT_PORTFOLIO'!$AA$5:$AA$34,0))&amp;" / "&amp;INDEX('02_PROJECT_PORTFOLIO'!$E$5:$E$34,MATCH(9,'02_PROJECT_PORTFOLIO'!$AA$5:$AA$34,0)),"")</f>
        <v/>
      </c>
      <c r="F52" s="14" t="n"/>
      <c r="G52" s="33">
        <f>IFERROR(INDEX('02_PROJECT_PORTFOLIO'!$AB$5:$AB$34,MATCH(9,'02_PROJECT_PORTFOLIO'!$AA$5:$AA$34,0)),"")</f>
        <v/>
      </c>
      <c r="H52" s="14" t="n"/>
      <c r="I52" s="46">
        <f>IFERROR(INDEX('02_PROJECT_PORTFOLIO'!$L$5:$L$34,MATCH(9,'02_PROJECT_PORTFOLIO'!$AA$5:$AA$34,0)),"")</f>
        <v/>
      </c>
      <c r="J52" s="45">
        <f>IFERROR(INDEX('02_PROJECT_PORTFOLIO'!$AC$5:$AC$34,MATCH(9,'02_PROJECT_PORTFOLIO'!$AA$5:$AA$34,0)),"")</f>
        <v/>
      </c>
      <c r="K52" s="14" t="n"/>
      <c r="L52" s="33">
        <f>IFERROR(INDEX('02_PROJECT_PORTFOLIO'!$T$5:$T$34,MATCH(9,'02_PROJECT_PORTFOLIO'!$AA$5:$AA$34,0))&amp;IF(INDEX('02_PROJECT_PORTFOLIO'!$U$5:$U$34,MATCH(9,'02_PROJECT_PORTFOLIO'!$AA$5:$AA$34,0))="","","   ("&amp;TEXT(INDEX('02_PROJECT_PORTFOLIO'!$U$5:$U$34,MATCH(9,'02_PROJECT_PORTFOLIO'!$AA$5:$AA$34,0)),"dd-mmm-yy")&amp;")"),"")</f>
        <v/>
      </c>
      <c r="M52" s="14" t="n"/>
      <c r="N52" s="14" t="n"/>
      <c r="P52" s="26">
        <f>IFERROR(INDEX('02_PROJECT_PORTFOLIO'!$C$5:$C$34,MATCH(8,'02_PROJECT_PORTFOLIO'!$Y$5:$Y$34,0)),"")</f>
        <v/>
      </c>
      <c r="Q52" s="47">
        <f>IF($P52="","",INDEX('02_PROJECT_PORTFOLIO'!$O$5:$O$34,MATCH($P52,'02_PROJECT_PORTFOLIO'!$C$5:$C$34,0)))</f>
        <v/>
      </c>
      <c r="R52" s="47">
        <f>IF($P52="","",INDEX('02_PROJECT_PORTFOLIO'!$P$5:$P$34,MATCH($P52,'02_PROJECT_PORTFOLIO'!$C$5:$C$34,0)))</f>
        <v/>
      </c>
      <c r="S52" s="47">
        <f>IF($P52="","",INDEX('02_PROJECT_PORTFOLIO'!$Q$5:$Q$34,MATCH($P52,'02_PROJECT_PORTFOLIO'!$C$5:$C$34,0)))</f>
        <v/>
      </c>
    </row>
    <row r="53" ht="16" customHeight="1">
      <c r="A53" s="33">
        <f>IFERROR(INDEX('02_PROJECT_PORTFOLIO'!$A$5:$A$34,MATCH(10,'02_PROJECT_PORTFOLIO'!$AA$5:$AA$34,0))&amp;"   "&amp;INDEX('02_PROJECT_PORTFOLIO'!$C$5:$C$34,MATCH(10,'02_PROJECT_PORTFOLIO'!$AA$5:$AA$34,0)),"")</f>
        <v/>
      </c>
      <c r="B53" s="14" t="n"/>
      <c r="C53" s="45">
        <f>IFERROR(INDEX('02_PROJECT_PORTFOLIO'!$M$5:$M$34,MATCH(10,'02_PROJECT_PORTFOLIO'!$AA$5:$AA$34,0)),"")</f>
        <v/>
      </c>
      <c r="D53" s="40">
        <f>IFERROR(INDEX('02_PROJECT_PORTFOLIO'!$N$5:$N$34,MATCH(10,'02_PROJECT_PORTFOLIO'!$AA$5:$AA$34,0)),"")</f>
        <v/>
      </c>
      <c r="E53" s="33">
        <f>IFERROR(INDEX('02_PROJECT_PORTFOLIO'!$D$5:$D$34,MATCH(10,'02_PROJECT_PORTFOLIO'!$AA$5:$AA$34,0))&amp;" / "&amp;INDEX('02_PROJECT_PORTFOLIO'!$E$5:$E$34,MATCH(10,'02_PROJECT_PORTFOLIO'!$AA$5:$AA$34,0)),"")</f>
        <v/>
      </c>
      <c r="F53" s="14" t="n"/>
      <c r="G53" s="33">
        <f>IFERROR(INDEX('02_PROJECT_PORTFOLIO'!$AB$5:$AB$34,MATCH(10,'02_PROJECT_PORTFOLIO'!$AA$5:$AA$34,0)),"")</f>
        <v/>
      </c>
      <c r="H53" s="14" t="n"/>
      <c r="I53" s="46">
        <f>IFERROR(INDEX('02_PROJECT_PORTFOLIO'!$L$5:$L$34,MATCH(10,'02_PROJECT_PORTFOLIO'!$AA$5:$AA$34,0)),"")</f>
        <v/>
      </c>
      <c r="J53" s="45">
        <f>IFERROR(INDEX('02_PROJECT_PORTFOLIO'!$AC$5:$AC$34,MATCH(10,'02_PROJECT_PORTFOLIO'!$AA$5:$AA$34,0)),"")</f>
        <v/>
      </c>
      <c r="K53" s="14" t="n"/>
      <c r="L53" s="33">
        <f>IFERROR(INDEX('02_PROJECT_PORTFOLIO'!$T$5:$T$34,MATCH(10,'02_PROJECT_PORTFOLIO'!$AA$5:$AA$34,0))&amp;IF(INDEX('02_PROJECT_PORTFOLIO'!$U$5:$U$34,MATCH(10,'02_PROJECT_PORTFOLIO'!$AA$5:$AA$34,0))="","","   ("&amp;TEXT(INDEX('02_PROJECT_PORTFOLIO'!$U$5:$U$34,MATCH(10,'02_PROJECT_PORTFOLIO'!$AA$5:$AA$34,0)),"dd-mmm-yy")&amp;")"),"")</f>
        <v/>
      </c>
      <c r="M53" s="14" t="n"/>
      <c r="N53" s="14" t="n"/>
      <c r="P53" s="26">
        <f>IFERROR(INDEX('02_PROJECT_PORTFOLIO'!$C$5:$C$34,MATCH(9,'02_PROJECT_PORTFOLIO'!$Y$5:$Y$34,0)),"")</f>
        <v/>
      </c>
      <c r="Q53" s="47">
        <f>IF($P53="","",INDEX('02_PROJECT_PORTFOLIO'!$O$5:$O$34,MATCH($P53,'02_PROJECT_PORTFOLIO'!$C$5:$C$34,0)))</f>
        <v/>
      </c>
      <c r="R53" s="47">
        <f>IF($P53="","",INDEX('02_PROJECT_PORTFOLIO'!$P$5:$P$34,MATCH($P53,'02_PROJECT_PORTFOLIO'!$C$5:$C$34,0)))</f>
        <v/>
      </c>
      <c r="S53" s="47">
        <f>IF($P53="","",INDEX('02_PROJECT_PORTFOLIO'!$Q$5:$Q$34,MATCH($P53,'02_PROJECT_PORTFOLIO'!$C$5:$C$34,0)))</f>
        <v/>
      </c>
    </row>
    <row r="54" ht="16" customHeight="1">
      <c r="A54" s="33">
        <f>IFERROR(INDEX('02_PROJECT_PORTFOLIO'!$A$5:$A$34,MATCH(11,'02_PROJECT_PORTFOLIO'!$AA$5:$AA$34,0))&amp;"   "&amp;INDEX('02_PROJECT_PORTFOLIO'!$C$5:$C$34,MATCH(11,'02_PROJECT_PORTFOLIO'!$AA$5:$AA$34,0)),"")</f>
        <v/>
      </c>
      <c r="B54" s="14" t="n"/>
      <c r="C54" s="45">
        <f>IFERROR(INDEX('02_PROJECT_PORTFOLIO'!$M$5:$M$34,MATCH(11,'02_PROJECT_PORTFOLIO'!$AA$5:$AA$34,0)),"")</f>
        <v/>
      </c>
      <c r="D54" s="40">
        <f>IFERROR(INDEX('02_PROJECT_PORTFOLIO'!$N$5:$N$34,MATCH(11,'02_PROJECT_PORTFOLIO'!$AA$5:$AA$34,0)),"")</f>
        <v/>
      </c>
      <c r="E54" s="33">
        <f>IFERROR(INDEX('02_PROJECT_PORTFOLIO'!$D$5:$D$34,MATCH(11,'02_PROJECT_PORTFOLIO'!$AA$5:$AA$34,0))&amp;" / "&amp;INDEX('02_PROJECT_PORTFOLIO'!$E$5:$E$34,MATCH(11,'02_PROJECT_PORTFOLIO'!$AA$5:$AA$34,0)),"")</f>
        <v/>
      </c>
      <c r="F54" s="14" t="n"/>
      <c r="G54" s="33">
        <f>IFERROR(INDEX('02_PROJECT_PORTFOLIO'!$AB$5:$AB$34,MATCH(11,'02_PROJECT_PORTFOLIO'!$AA$5:$AA$34,0)),"")</f>
        <v/>
      </c>
      <c r="H54" s="14" t="n"/>
      <c r="I54" s="46">
        <f>IFERROR(INDEX('02_PROJECT_PORTFOLIO'!$L$5:$L$34,MATCH(11,'02_PROJECT_PORTFOLIO'!$AA$5:$AA$34,0)),"")</f>
        <v/>
      </c>
      <c r="J54" s="45">
        <f>IFERROR(INDEX('02_PROJECT_PORTFOLIO'!$AC$5:$AC$34,MATCH(11,'02_PROJECT_PORTFOLIO'!$AA$5:$AA$34,0)),"")</f>
        <v/>
      </c>
      <c r="K54" s="14" t="n"/>
      <c r="L54" s="33">
        <f>IFERROR(INDEX('02_PROJECT_PORTFOLIO'!$T$5:$T$34,MATCH(11,'02_PROJECT_PORTFOLIO'!$AA$5:$AA$34,0))&amp;IF(INDEX('02_PROJECT_PORTFOLIO'!$U$5:$U$34,MATCH(11,'02_PROJECT_PORTFOLIO'!$AA$5:$AA$34,0))="","","   ("&amp;TEXT(INDEX('02_PROJECT_PORTFOLIO'!$U$5:$U$34,MATCH(11,'02_PROJECT_PORTFOLIO'!$AA$5:$AA$34,0)),"dd-mmm-yy")&amp;")"),"")</f>
        <v/>
      </c>
      <c r="M54" s="14" t="n"/>
      <c r="N54" s="14" t="n"/>
      <c r="P54" s="26">
        <f>IFERROR(INDEX('02_PROJECT_PORTFOLIO'!$C$5:$C$34,MATCH(10,'02_PROJECT_PORTFOLIO'!$Y$5:$Y$34,0)),"")</f>
        <v/>
      </c>
      <c r="Q54" s="47">
        <f>IF($P54="","",INDEX('02_PROJECT_PORTFOLIO'!$O$5:$O$34,MATCH($P54,'02_PROJECT_PORTFOLIO'!$C$5:$C$34,0)))</f>
        <v/>
      </c>
      <c r="R54" s="47">
        <f>IF($P54="","",INDEX('02_PROJECT_PORTFOLIO'!$P$5:$P$34,MATCH($P54,'02_PROJECT_PORTFOLIO'!$C$5:$C$34,0)))</f>
        <v/>
      </c>
      <c r="S54" s="47">
        <f>IF($P54="","",INDEX('02_PROJECT_PORTFOLIO'!$Q$5:$Q$34,MATCH($P54,'02_PROJECT_PORTFOLIO'!$C$5:$C$34,0)))</f>
        <v/>
      </c>
    </row>
    <row r="55" ht="16" customHeight="1">
      <c r="A55" s="33">
        <f>IFERROR(INDEX('02_PROJECT_PORTFOLIO'!$A$5:$A$34,MATCH(12,'02_PROJECT_PORTFOLIO'!$AA$5:$AA$34,0))&amp;"   "&amp;INDEX('02_PROJECT_PORTFOLIO'!$C$5:$C$34,MATCH(12,'02_PROJECT_PORTFOLIO'!$AA$5:$AA$34,0)),"")</f>
        <v/>
      </c>
      <c r="B55" s="14" t="n"/>
      <c r="C55" s="45">
        <f>IFERROR(INDEX('02_PROJECT_PORTFOLIO'!$M$5:$M$34,MATCH(12,'02_PROJECT_PORTFOLIO'!$AA$5:$AA$34,0)),"")</f>
        <v/>
      </c>
      <c r="D55" s="40">
        <f>IFERROR(INDEX('02_PROJECT_PORTFOLIO'!$N$5:$N$34,MATCH(12,'02_PROJECT_PORTFOLIO'!$AA$5:$AA$34,0)),"")</f>
        <v/>
      </c>
      <c r="E55" s="33">
        <f>IFERROR(INDEX('02_PROJECT_PORTFOLIO'!$D$5:$D$34,MATCH(12,'02_PROJECT_PORTFOLIO'!$AA$5:$AA$34,0))&amp;" / "&amp;INDEX('02_PROJECT_PORTFOLIO'!$E$5:$E$34,MATCH(12,'02_PROJECT_PORTFOLIO'!$AA$5:$AA$34,0)),"")</f>
        <v/>
      </c>
      <c r="F55" s="14" t="n"/>
      <c r="G55" s="33">
        <f>IFERROR(INDEX('02_PROJECT_PORTFOLIO'!$AB$5:$AB$34,MATCH(12,'02_PROJECT_PORTFOLIO'!$AA$5:$AA$34,0)),"")</f>
        <v/>
      </c>
      <c r="H55" s="14" t="n"/>
      <c r="I55" s="46">
        <f>IFERROR(INDEX('02_PROJECT_PORTFOLIO'!$L$5:$L$34,MATCH(12,'02_PROJECT_PORTFOLIO'!$AA$5:$AA$34,0)),"")</f>
        <v/>
      </c>
      <c r="J55" s="45">
        <f>IFERROR(INDEX('02_PROJECT_PORTFOLIO'!$AC$5:$AC$34,MATCH(12,'02_PROJECT_PORTFOLIO'!$AA$5:$AA$34,0)),"")</f>
        <v/>
      </c>
      <c r="K55" s="14" t="n"/>
      <c r="L55" s="33">
        <f>IFERROR(INDEX('02_PROJECT_PORTFOLIO'!$T$5:$T$34,MATCH(12,'02_PROJECT_PORTFOLIO'!$AA$5:$AA$34,0))&amp;IF(INDEX('02_PROJECT_PORTFOLIO'!$U$5:$U$34,MATCH(12,'02_PROJECT_PORTFOLIO'!$AA$5:$AA$34,0))="","","   ("&amp;TEXT(INDEX('02_PROJECT_PORTFOLIO'!$U$5:$U$34,MATCH(12,'02_PROJECT_PORTFOLIO'!$AA$5:$AA$34,0)),"dd-mmm-yy")&amp;")"),"")</f>
        <v/>
      </c>
      <c r="M55" s="14" t="n"/>
      <c r="N55" s="14" t="n"/>
    </row>
    <row r="56" ht="16" customHeight="1">
      <c r="A56" s="33">
        <f>IFERROR(INDEX('02_PROJECT_PORTFOLIO'!$A$5:$A$34,MATCH(13,'02_PROJECT_PORTFOLIO'!$AA$5:$AA$34,0))&amp;"   "&amp;INDEX('02_PROJECT_PORTFOLIO'!$C$5:$C$34,MATCH(13,'02_PROJECT_PORTFOLIO'!$AA$5:$AA$34,0)),"")</f>
        <v/>
      </c>
      <c r="B56" s="14" t="n"/>
      <c r="C56" s="45">
        <f>IFERROR(INDEX('02_PROJECT_PORTFOLIO'!$M$5:$M$34,MATCH(13,'02_PROJECT_PORTFOLIO'!$AA$5:$AA$34,0)),"")</f>
        <v/>
      </c>
      <c r="D56" s="40">
        <f>IFERROR(INDEX('02_PROJECT_PORTFOLIO'!$N$5:$N$34,MATCH(13,'02_PROJECT_PORTFOLIO'!$AA$5:$AA$34,0)),"")</f>
        <v/>
      </c>
      <c r="E56" s="33">
        <f>IFERROR(INDEX('02_PROJECT_PORTFOLIO'!$D$5:$D$34,MATCH(13,'02_PROJECT_PORTFOLIO'!$AA$5:$AA$34,0))&amp;" / "&amp;INDEX('02_PROJECT_PORTFOLIO'!$E$5:$E$34,MATCH(13,'02_PROJECT_PORTFOLIO'!$AA$5:$AA$34,0)),"")</f>
        <v/>
      </c>
      <c r="F56" s="14" t="n"/>
      <c r="G56" s="33">
        <f>IFERROR(INDEX('02_PROJECT_PORTFOLIO'!$AB$5:$AB$34,MATCH(13,'02_PROJECT_PORTFOLIO'!$AA$5:$AA$34,0)),"")</f>
        <v/>
      </c>
      <c r="H56" s="14" t="n"/>
      <c r="I56" s="46">
        <f>IFERROR(INDEX('02_PROJECT_PORTFOLIO'!$L$5:$L$34,MATCH(13,'02_PROJECT_PORTFOLIO'!$AA$5:$AA$34,0)),"")</f>
        <v/>
      </c>
      <c r="J56" s="45">
        <f>IFERROR(INDEX('02_PROJECT_PORTFOLIO'!$AC$5:$AC$34,MATCH(13,'02_PROJECT_PORTFOLIO'!$AA$5:$AA$34,0)),"")</f>
        <v/>
      </c>
      <c r="K56" s="14" t="n"/>
      <c r="L56" s="33">
        <f>IFERROR(INDEX('02_PROJECT_PORTFOLIO'!$T$5:$T$34,MATCH(13,'02_PROJECT_PORTFOLIO'!$AA$5:$AA$34,0))&amp;IF(INDEX('02_PROJECT_PORTFOLIO'!$U$5:$U$34,MATCH(13,'02_PROJECT_PORTFOLIO'!$AA$5:$AA$34,0))="","","   ("&amp;TEXT(INDEX('02_PROJECT_PORTFOLIO'!$U$5:$U$34,MATCH(13,'02_PROJECT_PORTFOLIO'!$AA$5:$AA$34,0)),"dd-mmm-yy")&amp;")"),"")</f>
        <v/>
      </c>
      <c r="M56" s="14" t="n"/>
      <c r="N56" s="14" t="n"/>
      <c r="P56" s="21" t="inlineStr">
        <is>
          <t>BLOCK 6 - MONTHLY MILESTONE DELIVERY (BASELINE vs ACTUAL)</t>
        </is>
      </c>
      <c r="Q56" s="22" t="n"/>
      <c r="R56" s="22" t="n"/>
      <c r="S56" s="22" t="n"/>
      <c r="T56" s="22" t="n"/>
    </row>
    <row r="57" ht="26" customHeight="1">
      <c r="A57" s="33">
        <f>IFERROR(INDEX('02_PROJECT_PORTFOLIO'!$A$5:$A$34,MATCH(14,'02_PROJECT_PORTFOLIO'!$AA$5:$AA$34,0))&amp;"   "&amp;INDEX('02_PROJECT_PORTFOLIO'!$C$5:$C$34,MATCH(14,'02_PROJECT_PORTFOLIO'!$AA$5:$AA$34,0)),"")</f>
        <v/>
      </c>
      <c r="B57" s="14" t="n"/>
      <c r="C57" s="45">
        <f>IFERROR(INDEX('02_PROJECT_PORTFOLIO'!$M$5:$M$34,MATCH(14,'02_PROJECT_PORTFOLIO'!$AA$5:$AA$34,0)),"")</f>
        <v/>
      </c>
      <c r="D57" s="40">
        <f>IFERROR(INDEX('02_PROJECT_PORTFOLIO'!$N$5:$N$34,MATCH(14,'02_PROJECT_PORTFOLIO'!$AA$5:$AA$34,0)),"")</f>
        <v/>
      </c>
      <c r="E57" s="33">
        <f>IFERROR(INDEX('02_PROJECT_PORTFOLIO'!$D$5:$D$34,MATCH(14,'02_PROJECT_PORTFOLIO'!$AA$5:$AA$34,0))&amp;" / "&amp;INDEX('02_PROJECT_PORTFOLIO'!$E$5:$E$34,MATCH(14,'02_PROJECT_PORTFOLIO'!$AA$5:$AA$34,0)),"")</f>
        <v/>
      </c>
      <c r="F57" s="14" t="n"/>
      <c r="G57" s="33">
        <f>IFERROR(INDEX('02_PROJECT_PORTFOLIO'!$AB$5:$AB$34,MATCH(14,'02_PROJECT_PORTFOLIO'!$AA$5:$AA$34,0)),"")</f>
        <v/>
      </c>
      <c r="H57" s="14" t="n"/>
      <c r="I57" s="46">
        <f>IFERROR(INDEX('02_PROJECT_PORTFOLIO'!$L$5:$L$34,MATCH(14,'02_PROJECT_PORTFOLIO'!$AA$5:$AA$34,0)),"")</f>
        <v/>
      </c>
      <c r="J57" s="45">
        <f>IFERROR(INDEX('02_PROJECT_PORTFOLIO'!$AC$5:$AC$34,MATCH(14,'02_PROJECT_PORTFOLIO'!$AA$5:$AA$34,0)),"")</f>
        <v/>
      </c>
      <c r="K57" s="14" t="n"/>
      <c r="L57" s="33">
        <f>IFERROR(INDEX('02_PROJECT_PORTFOLIO'!$T$5:$T$34,MATCH(14,'02_PROJECT_PORTFOLIO'!$AA$5:$AA$34,0))&amp;IF(INDEX('02_PROJECT_PORTFOLIO'!$U$5:$U$34,MATCH(14,'02_PROJECT_PORTFOLIO'!$AA$5:$AA$34,0))="","","   ("&amp;TEXT(INDEX('02_PROJECT_PORTFOLIO'!$U$5:$U$34,MATCH(14,'02_PROJECT_PORTFOLIO'!$AA$5:$AA$34,0)),"dd-mmm-yy")&amp;")"),"")</f>
        <v/>
      </c>
      <c r="M57" s="14" t="n"/>
      <c r="N57" s="14" t="n"/>
      <c r="P57" s="23" t="inlineStr">
        <is>
          <t>Month</t>
        </is>
      </c>
      <c r="Q57" s="23" t="inlineStr">
        <is>
          <t>Month start</t>
        </is>
      </c>
      <c r="R57" s="23" t="inlineStr">
        <is>
          <t>Baseline</t>
        </is>
      </c>
      <c r="S57" s="23" t="inlineStr">
        <is>
          <t>Actual</t>
        </is>
      </c>
    </row>
    <row r="58" ht="16" customHeight="1">
      <c r="A58" s="33">
        <f>IFERROR(INDEX('02_PROJECT_PORTFOLIO'!$A$5:$A$34,MATCH(15,'02_PROJECT_PORTFOLIO'!$AA$5:$AA$34,0))&amp;"   "&amp;INDEX('02_PROJECT_PORTFOLIO'!$C$5:$C$34,MATCH(15,'02_PROJECT_PORTFOLIO'!$AA$5:$AA$34,0)),"")</f>
        <v/>
      </c>
      <c r="B58" s="14" t="n"/>
      <c r="C58" s="45">
        <f>IFERROR(INDEX('02_PROJECT_PORTFOLIO'!$M$5:$M$34,MATCH(15,'02_PROJECT_PORTFOLIO'!$AA$5:$AA$34,0)),"")</f>
        <v/>
      </c>
      <c r="D58" s="40">
        <f>IFERROR(INDEX('02_PROJECT_PORTFOLIO'!$N$5:$N$34,MATCH(15,'02_PROJECT_PORTFOLIO'!$AA$5:$AA$34,0)),"")</f>
        <v/>
      </c>
      <c r="E58" s="33">
        <f>IFERROR(INDEX('02_PROJECT_PORTFOLIO'!$D$5:$D$34,MATCH(15,'02_PROJECT_PORTFOLIO'!$AA$5:$AA$34,0))&amp;" / "&amp;INDEX('02_PROJECT_PORTFOLIO'!$E$5:$E$34,MATCH(15,'02_PROJECT_PORTFOLIO'!$AA$5:$AA$34,0)),"")</f>
        <v/>
      </c>
      <c r="F58" s="14" t="n"/>
      <c r="G58" s="33">
        <f>IFERROR(INDEX('02_PROJECT_PORTFOLIO'!$AB$5:$AB$34,MATCH(15,'02_PROJECT_PORTFOLIO'!$AA$5:$AA$34,0)),"")</f>
        <v/>
      </c>
      <c r="H58" s="14" t="n"/>
      <c r="I58" s="46">
        <f>IFERROR(INDEX('02_PROJECT_PORTFOLIO'!$L$5:$L$34,MATCH(15,'02_PROJECT_PORTFOLIO'!$AA$5:$AA$34,0)),"")</f>
        <v/>
      </c>
      <c r="J58" s="45">
        <f>IFERROR(INDEX('02_PROJECT_PORTFOLIO'!$AC$5:$AC$34,MATCH(15,'02_PROJECT_PORTFOLIO'!$AA$5:$AA$34,0)),"")</f>
        <v/>
      </c>
      <c r="K58" s="14" t="n"/>
      <c r="L58" s="33">
        <f>IFERROR(INDEX('02_PROJECT_PORTFOLIO'!$T$5:$T$34,MATCH(15,'02_PROJECT_PORTFOLIO'!$AA$5:$AA$34,0))&amp;IF(INDEX('02_PROJECT_PORTFOLIO'!$U$5:$U$34,MATCH(15,'02_PROJECT_PORTFOLIO'!$AA$5:$AA$34,0))="","","   ("&amp;TEXT(INDEX('02_PROJECT_PORTFOLIO'!$U$5:$U$34,MATCH(15,'02_PROJECT_PORTFOLIO'!$AA$5:$AA$34,0)),"dd-mmm-yy")&amp;")"),"")</f>
        <v/>
      </c>
      <c r="M58" s="14" t="n"/>
      <c r="N58" s="14" t="n"/>
      <c r="P58" s="26">
        <f>TEXT($Q58,"mmm-yy")</f>
        <v/>
      </c>
      <c r="Q58" s="48">
        <f>EOMONTH(TODAY(),-1)+1</f>
        <v/>
      </c>
      <c r="R58" s="27">
        <f>COUNTIFS('05_MILESTONES'!$E$5:$E$34,"&gt;="&amp;$Q58,'05_MILESTONES'!$E$5:$E$34,"&lt;"&amp;EDATE($Q58,1))</f>
        <v/>
      </c>
      <c r="S58" s="27">
        <f>COUNTIFS('05_MILESTONES'!$G$5:$G$34,"&gt;="&amp;$Q58,'05_MILESTONES'!$G$5:$G$34,"&lt;"&amp;EDATE($Q58,1))</f>
        <v/>
      </c>
    </row>
    <row r="59" ht="6" customHeight="1">
      <c r="P59" s="26">
        <f>TEXT($Q59,"mmm-yy")</f>
        <v/>
      </c>
      <c r="Q59" s="48">
        <f>EDATE(Q58,1)</f>
        <v/>
      </c>
      <c r="R59" s="27">
        <f>COUNTIFS('05_MILESTONES'!$E$5:$E$34,"&gt;="&amp;$Q59,'05_MILESTONES'!$E$5:$E$34,"&lt;"&amp;EDATE($Q59,1))</f>
        <v/>
      </c>
      <c r="S59" s="27">
        <f>COUNTIFS('05_MILESTONES'!$G$5:$G$34,"&gt;="&amp;$Q59,'05_MILESTONES'!$G$5:$G$34,"&lt;"&amp;EDATE($Q59,1))</f>
        <v/>
      </c>
    </row>
    <row r="60" ht="20" customHeight="1">
      <c r="A60" s="6" t="inlineStr">
        <is>
          <t>PORTFOLIO CHARTS - ALL FORMULA DRIVEN, NO MANUAL UPDATING</t>
        </is>
      </c>
      <c r="P60" s="26">
        <f>TEXT($Q60,"mmm-yy")</f>
        <v/>
      </c>
      <c r="Q60" s="48">
        <f>EDATE(Q59,1)</f>
        <v/>
      </c>
      <c r="R60" s="27">
        <f>COUNTIFS('05_MILESTONES'!$E$5:$E$34,"&gt;="&amp;$Q60,'05_MILESTONES'!$E$5:$E$34,"&lt;"&amp;EDATE($Q60,1))</f>
        <v/>
      </c>
      <c r="S60" s="27">
        <f>COUNTIFS('05_MILESTONES'!$G$5:$G$34,"&gt;="&amp;$Q60,'05_MILESTONES'!$G$5:$G$34,"&lt;"&amp;EDATE($Q60,1))</f>
        <v/>
      </c>
    </row>
    <row r="61">
      <c r="P61" s="26">
        <f>TEXT($Q61,"mmm-yy")</f>
        <v/>
      </c>
      <c r="Q61" s="48">
        <f>EDATE(Q60,1)</f>
        <v/>
      </c>
      <c r="R61" s="27">
        <f>COUNTIFS('05_MILESTONES'!$E$5:$E$34,"&gt;="&amp;$Q61,'05_MILESTONES'!$E$5:$E$34,"&lt;"&amp;EDATE($Q61,1))</f>
        <v/>
      </c>
      <c r="S61" s="27">
        <f>COUNTIFS('05_MILESTONES'!$G$5:$G$34,"&gt;="&amp;$Q61,'05_MILESTONES'!$G$5:$G$34,"&lt;"&amp;EDATE($Q61,1))</f>
        <v/>
      </c>
    </row>
    <row r="62">
      <c r="P62" s="26">
        <f>TEXT($Q62,"mmm-yy")</f>
        <v/>
      </c>
      <c r="Q62" s="48">
        <f>EDATE(Q61,1)</f>
        <v/>
      </c>
      <c r="R62" s="27">
        <f>COUNTIFS('05_MILESTONES'!$E$5:$E$34,"&gt;="&amp;$Q62,'05_MILESTONES'!$E$5:$E$34,"&lt;"&amp;EDATE($Q62,1))</f>
        <v/>
      </c>
      <c r="S62" s="27">
        <f>COUNTIFS('05_MILESTONES'!$G$5:$G$34,"&gt;="&amp;$Q62,'05_MILESTONES'!$G$5:$G$34,"&lt;"&amp;EDATE($Q62,1))</f>
        <v/>
      </c>
    </row>
    <row r="63">
      <c r="P63" s="26">
        <f>TEXT($Q63,"mmm-yy")</f>
        <v/>
      </c>
      <c r="Q63" s="48">
        <f>EDATE(Q62,1)</f>
        <v/>
      </c>
      <c r="R63" s="27">
        <f>COUNTIFS('05_MILESTONES'!$E$5:$E$34,"&gt;="&amp;$Q63,'05_MILESTONES'!$E$5:$E$34,"&lt;"&amp;EDATE($Q63,1))</f>
        <v/>
      </c>
      <c r="S63" s="27">
        <f>COUNTIFS('05_MILESTONES'!$G$5:$G$34,"&gt;="&amp;$Q63,'05_MILESTONES'!$G$5:$G$34,"&lt;"&amp;EDATE($Q63,1))</f>
        <v/>
      </c>
    </row>
    <row r="65">
      <c r="P65" s="21" t="inlineStr">
        <is>
          <t>BLOCK 7 - OPEN RISKS BY SEVERITY</t>
        </is>
      </c>
      <c r="Q65" s="22" t="n"/>
      <c r="R65" s="22" t="n"/>
      <c r="S65" s="22" t="n"/>
      <c r="T65" s="22" t="n"/>
    </row>
    <row r="66" ht="26" customHeight="1">
      <c r="P66" s="23" t="inlineStr">
        <is>
          <t>Priority</t>
        </is>
      </c>
      <c r="Q66" s="23" t="inlineStr">
        <is>
          <t>Open risks</t>
        </is>
      </c>
    </row>
    <row r="67">
      <c r="P67" s="26" t="inlineStr">
        <is>
          <t>Low</t>
        </is>
      </c>
      <c r="Q67" s="27">
        <f>COUNTIFS('06_RAID_LOG'!$C$5:$C$34,"Risk",'06_RAID_LOG'!$I$5:$I$34,P67,'06_RAID_LOG'!$N$5:$N$34,"&lt;&gt;Closed")</f>
        <v/>
      </c>
    </row>
    <row r="68">
      <c r="P68" s="26" t="inlineStr">
        <is>
          <t>Medium</t>
        </is>
      </c>
      <c r="Q68" s="27">
        <f>COUNTIFS('06_RAID_LOG'!$C$5:$C$34,"Risk",'06_RAID_LOG'!$I$5:$I$34,P68,'06_RAID_LOG'!$N$5:$N$34,"&lt;&gt;Closed")</f>
        <v/>
      </c>
    </row>
    <row r="69">
      <c r="P69" s="26" t="inlineStr">
        <is>
          <t>High</t>
        </is>
      </c>
      <c r="Q69" s="27">
        <f>COUNTIFS('06_RAID_LOG'!$C$5:$C$34,"Risk",'06_RAID_LOG'!$I$5:$I$34,P69,'06_RAID_LOG'!$N$5:$N$34,"&lt;&gt;Closed")</f>
        <v/>
      </c>
    </row>
    <row r="70">
      <c r="P70" s="26" t="inlineStr">
        <is>
          <t>Critical</t>
        </is>
      </c>
      <c r="Q70" s="27">
        <f>COUNTIFS('06_RAID_LOG'!$C$5:$C$34,"Risk",'06_RAID_LOG'!$I$5:$I$34,P70,'06_RAID_LOG'!$N$5:$N$34,"&lt;&gt;Closed")</f>
        <v/>
      </c>
    </row>
    <row r="72">
      <c r="P72" s="21" t="inlineStr">
        <is>
          <t>BLOCK 8 - ISSUES BY STATUS</t>
        </is>
      </c>
      <c r="Q72" s="22" t="n"/>
      <c r="R72" s="22" t="n"/>
      <c r="S72" s="22" t="n"/>
      <c r="T72" s="22" t="n"/>
    </row>
    <row r="73" ht="26" customHeight="1">
      <c r="P73" s="23" t="inlineStr">
        <is>
          <t>Status</t>
        </is>
      </c>
      <c r="Q73" s="23" t="inlineStr">
        <is>
          <t>Issues</t>
        </is>
      </c>
    </row>
    <row r="74">
      <c r="P74" s="26" t="inlineStr">
        <is>
          <t>Open</t>
        </is>
      </c>
      <c r="Q74" s="27">
        <f>COUNTIFS('06_RAID_LOG'!$C$5:$C$34,"Issue",'06_RAID_LOG'!$N$5:$N$34,P74)</f>
        <v/>
      </c>
    </row>
    <row r="75">
      <c r="P75" s="26" t="inlineStr">
        <is>
          <t>In Progress</t>
        </is>
      </c>
      <c r="Q75" s="27">
        <f>COUNTIFS('06_RAID_LOG'!$C$5:$C$34,"Issue",'06_RAID_LOG'!$N$5:$N$34,P75)</f>
        <v/>
      </c>
    </row>
    <row r="76">
      <c r="P76" s="26" t="inlineStr">
        <is>
          <t>Closed</t>
        </is>
      </c>
      <c r="Q76" s="27">
        <f>COUNTIFS('06_RAID_LOG'!$C$5:$C$34,"Issue",'06_RAID_LOG'!$N$5:$N$34,P76)</f>
        <v/>
      </c>
    </row>
    <row r="78">
      <c r="P78" s="21" t="inlineStr">
        <is>
          <t>BLOCK 9 - OVERDUE ACTIONS BY OWNER</t>
        </is>
      </c>
      <c r="Q78" s="22" t="n"/>
      <c r="R78" s="22" t="n"/>
      <c r="S78" s="22" t="n"/>
      <c r="T78" s="22" t="n"/>
    </row>
    <row r="79" ht="26" customHeight="1">
      <c r="P79" s="23" t="inlineStr">
        <is>
          <t>Owner</t>
        </is>
      </c>
      <c r="Q79" s="23" t="inlineStr">
        <is>
          <t>Overdue actions</t>
        </is>
      </c>
    </row>
    <row r="80">
      <c r="P80" s="26" t="inlineStr">
        <is>
          <t>Ahmed Khan</t>
        </is>
      </c>
      <c r="Q80" s="27">
        <f>COUNTIFS('07_ACTION_TRACKER'!$E$5:$E$34,P80,'07_ACTION_TRACKER'!$K$5:$K$34,"&gt;0")</f>
        <v/>
      </c>
    </row>
    <row r="81">
      <c r="P81" s="26" t="inlineStr">
        <is>
          <t>Lisa Chen</t>
        </is>
      </c>
      <c r="Q81" s="27">
        <f>COUNTIFS('07_ACTION_TRACKER'!$E$5:$E$34,P81,'07_ACTION_TRACKER'!$K$5:$K$34,"&gt;0")</f>
        <v/>
      </c>
    </row>
    <row r="82">
      <c r="P82" s="26" t="inlineStr">
        <is>
          <t>David Okoro</t>
        </is>
      </c>
      <c r="Q82" s="27">
        <f>COUNTIFS('07_ACTION_TRACKER'!$E$5:$E$34,P82,'07_ACTION_TRACKER'!$K$5:$K$34,"&gt;0")</f>
        <v/>
      </c>
    </row>
    <row r="83">
      <c r="P83" s="26" t="inlineStr">
        <is>
          <t>Maria Silva</t>
        </is>
      </c>
      <c r="Q83" s="27">
        <f>COUNTIFS('07_ACTION_TRACKER'!$E$5:$E$34,P83,'07_ACTION_TRACKER'!$K$5:$K$34,"&gt;0")</f>
        <v/>
      </c>
    </row>
    <row r="84">
      <c r="P84" s="26" t="inlineStr">
        <is>
          <t>Priya Raman</t>
        </is>
      </c>
      <c r="Q84" s="27">
        <f>COUNTIFS('07_ACTION_TRACKER'!$E$5:$E$34,P84,'07_ACTION_TRACKER'!$K$5:$K$34,"&gt;0")</f>
        <v/>
      </c>
    </row>
    <row r="85">
      <c r="P85" s="26" t="inlineStr">
        <is>
          <t>Tom Becker</t>
        </is>
      </c>
      <c r="Q85" s="27">
        <f>COUNTIFS('07_ACTION_TRACKER'!$E$5:$E$34,P85,'07_ACTION_TRACKER'!$K$5:$K$34,"&gt;0")</f>
        <v/>
      </c>
    </row>
    <row r="86">
      <c r="P86" s="26" t="inlineStr">
        <is>
          <t>Grace Alemu</t>
        </is>
      </c>
      <c r="Q86" s="27">
        <f>COUNTIFS('07_ACTION_TRACKER'!$E$5:$E$34,P86,'07_ACTION_TRACKER'!$K$5:$K$34,"&gt;0")</f>
        <v/>
      </c>
    </row>
    <row r="87">
      <c r="P87" s="26" t="inlineStr">
        <is>
          <t>Sarah Mitchell</t>
        </is>
      </c>
      <c r="Q87" s="27">
        <f>COUNTIFS('07_ACTION_TRACKER'!$E$5:$E$34,P87,'07_ACTION_TRACKER'!$K$5:$K$34,"&gt;0")</f>
        <v/>
      </c>
    </row>
    <row r="89">
      <c r="P89" s="21" t="inlineStr">
        <is>
          <t>BLOCK 10 - UPCOMING MILESTONES (NEXT 30 DAYS)</t>
        </is>
      </c>
      <c r="Q89" s="22" t="n"/>
      <c r="R89" s="22" t="n"/>
      <c r="S89" s="22" t="n"/>
      <c r="T89" s="22" t="n"/>
    </row>
    <row r="90" ht="26" customHeight="1">
      <c r="P90" s="23" t="inlineStr">
        <is>
          <t>Window</t>
        </is>
      </c>
      <c r="Q90" s="23" t="inlineStr">
        <is>
          <t>Milestones</t>
        </is>
      </c>
    </row>
    <row r="91">
      <c r="P91" s="26" t="inlineStr">
        <is>
          <t>Next 7 days</t>
        </is>
      </c>
      <c r="Q91" s="27">
        <f>COUNTIFS('05_MILESTONES'!$F$5:$F$34,"&gt;="&amp;TODAY(),'05_MILESTONES'!$F$5:$F$34,"&lt;="&amp;TODAY()+7,'05_MILESTONES'!$H$5:$H$34,"&lt;&gt;Complete")</f>
        <v/>
      </c>
    </row>
    <row r="92">
      <c r="P92" s="26" t="inlineStr">
        <is>
          <t>8 - 14 days</t>
        </is>
      </c>
      <c r="Q92" s="27">
        <f>COUNTIFS('05_MILESTONES'!$F$5:$F$34,"&gt;"&amp;TODAY()+7,'05_MILESTONES'!$F$5:$F$34,"&lt;="&amp;TODAY()+14,'05_MILESTONES'!$H$5:$H$34,"&lt;&gt;Complete")</f>
        <v/>
      </c>
    </row>
    <row r="93">
      <c r="P93" s="26" t="inlineStr">
        <is>
          <t>15 - 30 days</t>
        </is>
      </c>
      <c r="Q93" s="27">
        <f>COUNTIFS('05_MILESTONES'!$F$5:$F$34,"&gt;"&amp;TODAY()+14,'05_MILESTONES'!$F$5:$F$34,"&lt;="&amp;TODAY()+30,'05_MILESTONES'!$H$5:$H$34,"&lt;&gt;Complete")</f>
        <v/>
      </c>
    </row>
  </sheetData>
  <mergeCells count="225">
    <mergeCell ref="H35:I35"/>
    <mergeCell ref="C6:D6"/>
    <mergeCell ref="A17:G17"/>
    <mergeCell ref="A22:G22"/>
    <mergeCell ref="A51:B51"/>
    <mergeCell ref="E31:G31"/>
    <mergeCell ref="P1:T1"/>
    <mergeCell ref="A29:D29"/>
    <mergeCell ref="A19:G19"/>
    <mergeCell ref="L58:N58"/>
    <mergeCell ref="H15:N15"/>
    <mergeCell ref="H39:I39"/>
    <mergeCell ref="H23:N23"/>
    <mergeCell ref="E51:F51"/>
    <mergeCell ref="A31:D31"/>
    <mergeCell ref="A54:B54"/>
    <mergeCell ref="A7:B7"/>
    <mergeCell ref="M10:N10"/>
    <mergeCell ref="J53:K53"/>
    <mergeCell ref="G57:H57"/>
    <mergeCell ref="J45:K45"/>
    <mergeCell ref="L39:M39"/>
    <mergeCell ref="A56:B56"/>
    <mergeCell ref="L29:M29"/>
    <mergeCell ref="L46:N46"/>
    <mergeCell ref="L38:M38"/>
    <mergeCell ref="E49:F49"/>
    <mergeCell ref="A42:B42"/>
    <mergeCell ref="H25:N25"/>
    <mergeCell ref="G58:H58"/>
    <mergeCell ref="H37:I37"/>
    <mergeCell ref="J31:K31"/>
    <mergeCell ref="L31:M31"/>
    <mergeCell ref="L48:N48"/>
    <mergeCell ref="A53:B53"/>
    <mergeCell ref="P78:T78"/>
    <mergeCell ref="A21:G21"/>
    <mergeCell ref="P30:T30"/>
    <mergeCell ref="H17:N17"/>
    <mergeCell ref="A26:G26"/>
    <mergeCell ref="E35:G35"/>
    <mergeCell ref="L47:N47"/>
    <mergeCell ref="G44:H44"/>
    <mergeCell ref="A33:D33"/>
    <mergeCell ref="E53:F53"/>
    <mergeCell ref="A9:B9"/>
    <mergeCell ref="J58:K58"/>
    <mergeCell ref="A23:G23"/>
    <mergeCell ref="A48:B48"/>
    <mergeCell ref="H19:N19"/>
    <mergeCell ref="I6:J6"/>
    <mergeCell ref="E55:F55"/>
    <mergeCell ref="A35:D35"/>
    <mergeCell ref="A11:B11"/>
    <mergeCell ref="C5:D5"/>
    <mergeCell ref="A45:B45"/>
    <mergeCell ref="E5:F5"/>
    <mergeCell ref="J57:K57"/>
    <mergeCell ref="E30:G30"/>
    <mergeCell ref="E48:F48"/>
    <mergeCell ref="L51:N51"/>
    <mergeCell ref="G48:H48"/>
    <mergeCell ref="A1:N1"/>
    <mergeCell ref="H34:I34"/>
    <mergeCell ref="J34:K34"/>
    <mergeCell ref="H14:N14"/>
    <mergeCell ref="G7:H7"/>
    <mergeCell ref="P56:T56"/>
    <mergeCell ref="L50:N50"/>
    <mergeCell ref="I7:J7"/>
    <mergeCell ref="A30:D30"/>
    <mergeCell ref="A46:B46"/>
    <mergeCell ref="J49:K49"/>
    <mergeCell ref="H36:I36"/>
    <mergeCell ref="J36:K36"/>
    <mergeCell ref="L52:N52"/>
    <mergeCell ref="L30:M30"/>
    <mergeCell ref="G49:H49"/>
    <mergeCell ref="E32:G32"/>
    <mergeCell ref="M7:N7"/>
    <mergeCell ref="A3:N3"/>
    <mergeCell ref="L49:N49"/>
    <mergeCell ref="P17:T17"/>
    <mergeCell ref="J42:L42"/>
    <mergeCell ref="H21:N21"/>
    <mergeCell ref="E33:G33"/>
    <mergeCell ref="A52:B52"/>
    <mergeCell ref="P3:T3"/>
    <mergeCell ref="A4:N4"/>
    <mergeCell ref="J46:K46"/>
    <mergeCell ref="I10:J10"/>
    <mergeCell ref="A10:B10"/>
    <mergeCell ref="K10:L10"/>
    <mergeCell ref="J51:K51"/>
    <mergeCell ref="H16:N16"/>
    <mergeCell ref="K6:L6"/>
    <mergeCell ref="G9:H9"/>
    <mergeCell ref="E58:F58"/>
    <mergeCell ref="I9:J9"/>
    <mergeCell ref="J48:K48"/>
    <mergeCell ref="E50:F50"/>
    <mergeCell ref="A14:G14"/>
    <mergeCell ref="H22:N22"/>
    <mergeCell ref="J29:K29"/>
    <mergeCell ref="H38:I38"/>
    <mergeCell ref="J38:K38"/>
    <mergeCell ref="L32:M32"/>
    <mergeCell ref="G11:H11"/>
    <mergeCell ref="G42:H42"/>
    <mergeCell ref="A49:B49"/>
    <mergeCell ref="I11:J11"/>
    <mergeCell ref="K9:L9"/>
    <mergeCell ref="K5:L5"/>
    <mergeCell ref="M9:N9"/>
    <mergeCell ref="E34:G34"/>
    <mergeCell ref="M5:N5"/>
    <mergeCell ref="E52:F52"/>
    <mergeCell ref="H31:I31"/>
    <mergeCell ref="L55:N55"/>
    <mergeCell ref="A60:N60"/>
    <mergeCell ref="E44:F44"/>
    <mergeCell ref="K11:L11"/>
    <mergeCell ref="E36:G36"/>
    <mergeCell ref="M11:N11"/>
    <mergeCell ref="L54:N54"/>
    <mergeCell ref="A34:D34"/>
    <mergeCell ref="P72:T72"/>
    <mergeCell ref="A39:D39"/>
    <mergeCell ref="L33:M33"/>
    <mergeCell ref="A24:G24"/>
    <mergeCell ref="P89:T89"/>
    <mergeCell ref="P65:T65"/>
    <mergeCell ref="L56:N56"/>
    <mergeCell ref="A36:D36"/>
    <mergeCell ref="A55:B55"/>
    <mergeCell ref="J35:K35"/>
    <mergeCell ref="E6:F6"/>
    <mergeCell ref="L35:M35"/>
    <mergeCell ref="E46:F46"/>
    <mergeCell ref="A57:B57"/>
    <mergeCell ref="E37:G37"/>
    <mergeCell ref="A2:N2"/>
    <mergeCell ref="A5:B5"/>
    <mergeCell ref="A16:G16"/>
    <mergeCell ref="A25:G25"/>
    <mergeCell ref="E57:F57"/>
    <mergeCell ref="A37:D37"/>
    <mergeCell ref="K7:L7"/>
    <mergeCell ref="G51:H51"/>
    <mergeCell ref="P43:T43"/>
    <mergeCell ref="C7:D7"/>
    <mergeCell ref="A18:G18"/>
    <mergeCell ref="J50:K50"/>
    <mergeCell ref="E7:F7"/>
    <mergeCell ref="A43:B43"/>
    <mergeCell ref="E54:F54"/>
    <mergeCell ref="G54:H54"/>
    <mergeCell ref="L57:N57"/>
    <mergeCell ref="L53:N53"/>
    <mergeCell ref="G50:H50"/>
    <mergeCell ref="J52:K52"/>
    <mergeCell ref="A13:N13"/>
    <mergeCell ref="A32:D32"/>
    <mergeCell ref="H30:I30"/>
    <mergeCell ref="E56:F56"/>
    <mergeCell ref="G56:H56"/>
    <mergeCell ref="J39:K39"/>
    <mergeCell ref="E43:F43"/>
    <mergeCell ref="G43:H43"/>
    <mergeCell ref="J44:K44"/>
    <mergeCell ref="G52:H52"/>
    <mergeCell ref="H29:I29"/>
    <mergeCell ref="A38:D38"/>
    <mergeCell ref="L45:N45"/>
    <mergeCell ref="J37:K37"/>
    <mergeCell ref="L37:M37"/>
    <mergeCell ref="H24:N24"/>
    <mergeCell ref="A6:B6"/>
    <mergeCell ref="H18:N18"/>
    <mergeCell ref="J30:K30"/>
    <mergeCell ref="C10:D10"/>
    <mergeCell ref="E10:F10"/>
    <mergeCell ref="G10:H10"/>
    <mergeCell ref="L44:N44"/>
    <mergeCell ref="H26:N26"/>
    <mergeCell ref="P11:T11"/>
    <mergeCell ref="A41:N41"/>
    <mergeCell ref="G53:H53"/>
    <mergeCell ref="A15:G15"/>
    <mergeCell ref="G6:H6"/>
    <mergeCell ref="C9:D9"/>
    <mergeCell ref="E9:F9"/>
    <mergeCell ref="J55:K55"/>
    <mergeCell ref="A50:B50"/>
    <mergeCell ref="M6:N6"/>
    <mergeCell ref="H32:I32"/>
    <mergeCell ref="C11:D11"/>
    <mergeCell ref="J54:K54"/>
    <mergeCell ref="J32:K32"/>
    <mergeCell ref="E11:F11"/>
    <mergeCell ref="A47:B47"/>
    <mergeCell ref="G5:H5"/>
    <mergeCell ref="M42:N42"/>
    <mergeCell ref="E45:F45"/>
    <mergeCell ref="I5:J5"/>
    <mergeCell ref="G45:H45"/>
    <mergeCell ref="L36:M36"/>
    <mergeCell ref="J47:K47"/>
    <mergeCell ref="G55:H55"/>
    <mergeCell ref="J56:K56"/>
    <mergeCell ref="L34:M34"/>
    <mergeCell ref="J43:K43"/>
    <mergeCell ref="D42:E42"/>
    <mergeCell ref="G47:H47"/>
    <mergeCell ref="E39:G39"/>
    <mergeCell ref="H33:I33"/>
    <mergeCell ref="J33:K33"/>
    <mergeCell ref="A44:B44"/>
    <mergeCell ref="G46:H46"/>
    <mergeCell ref="L43:N43"/>
    <mergeCell ref="A28:N28"/>
    <mergeCell ref="E29:G29"/>
    <mergeCell ref="A58:B58"/>
    <mergeCell ref="E47:F47"/>
    <mergeCell ref="E38:G38"/>
  </mergeCells>
  <conditionalFormatting sqref="G6">
    <cfRule type="expression" priority="1" dxfId="0" stopIfTrue="1">
      <formula>G6&gt;0</formula>
    </cfRule>
    <cfRule type="expression" priority="2" dxfId="1" stopIfTrue="1">
      <formula>G6=0</formula>
    </cfRule>
  </conditionalFormatting>
  <conditionalFormatting sqref="I6">
    <cfRule type="expression" priority="3" dxfId="2" stopIfTrue="1">
      <formula>I6&gt;0</formula>
    </cfRule>
    <cfRule type="expression" priority="4" dxfId="1" stopIfTrue="1">
      <formula>I6=0</formula>
    </cfRule>
  </conditionalFormatting>
  <conditionalFormatting sqref="M6">
    <cfRule type="expression" priority="5" dxfId="0" stopIfTrue="1">
      <formula>M6&gt;0</formula>
    </cfRule>
    <cfRule type="expression" priority="6" dxfId="1" stopIfTrue="1">
      <formula>M6=0</formula>
    </cfRule>
  </conditionalFormatting>
  <conditionalFormatting sqref="A10">
    <cfRule type="expression" priority="7" dxfId="0" stopIfTrue="1">
      <formula>A10&gt;0</formula>
    </cfRule>
    <cfRule type="expression" priority="8" dxfId="1" stopIfTrue="1">
      <formula>A10=0</formula>
    </cfRule>
  </conditionalFormatting>
  <conditionalFormatting sqref="C10">
    <cfRule type="expression" priority="9" dxfId="2" stopIfTrue="1">
      <formula>C10&gt;0</formula>
    </cfRule>
    <cfRule type="expression" priority="10" dxfId="1" stopIfTrue="1">
      <formula>C10=0</formula>
    </cfRule>
  </conditionalFormatting>
  <conditionalFormatting sqref="M10">
    <cfRule type="expression" priority="11" dxfId="0" stopIfTrue="1">
      <formula>M10&gt;0</formula>
    </cfRule>
    <cfRule type="expression" priority="12" dxfId="1" stopIfTrue="1">
      <formula>M10=0</formula>
    </cfRule>
  </conditionalFormatting>
  <conditionalFormatting sqref="K10">
    <cfRule type="expression" priority="13" dxfId="0" stopIfTrue="1">
      <formula>K10&gt;0</formula>
    </cfRule>
    <cfRule type="expression" priority="14" dxfId="1" stopIfTrue="1">
      <formula>K10=0</formula>
    </cfRule>
  </conditionalFormatting>
  <conditionalFormatting sqref="N30:N39">
    <cfRule type="expression" priority="15" dxfId="3" stopIfTrue="1">
      <formula>EXACT($N30,"Green")</formula>
    </cfRule>
    <cfRule type="expression" priority="16" dxfId="4" stopIfTrue="1">
      <formula>EXACT($N30,"Yellow")</formula>
    </cfRule>
    <cfRule type="expression" priority="17" dxfId="5" stopIfTrue="1">
      <formula>EXACT($N30,"Red")</formula>
    </cfRule>
  </conditionalFormatting>
  <conditionalFormatting sqref="L30:M39">
    <cfRule type="expression" priority="18" dxfId="6">
      <formula>AND(ISNUMBER($L30),$L30&lt;0)</formula>
    </cfRule>
    <cfRule type="expression" priority="19" dxfId="7">
      <formula>AND(ISNUMBER($L30),$L30&gt;=0,$L30&lt;=7)</formula>
    </cfRule>
  </conditionalFormatting>
  <conditionalFormatting sqref="C44:C58">
    <cfRule type="expression" priority="20" dxfId="3" stopIfTrue="1">
      <formula>EXACT($C44,"Active")</formula>
    </cfRule>
    <cfRule type="expression" priority="21" dxfId="8" stopIfTrue="1">
      <formula>EXACT($C44,"Completed")</formula>
    </cfRule>
    <cfRule type="expression" priority="22" dxfId="4" stopIfTrue="1">
      <formula>EXACT($C44,"On Hold")</formula>
    </cfRule>
    <cfRule type="expression" priority="23" dxfId="8" stopIfTrue="1">
      <formula>EXACT($C44,"Not Started")</formula>
    </cfRule>
    <cfRule type="expression" priority="24" dxfId="5" stopIfTrue="1">
      <formula>EXACT($C44,"Cancelled")</formula>
    </cfRule>
  </conditionalFormatting>
  <conditionalFormatting sqref="D44:D58">
    <cfRule type="expression" priority="25" dxfId="3" stopIfTrue="1">
      <formula>EXACT($D44,"Green")</formula>
    </cfRule>
    <cfRule type="expression" priority="26" dxfId="4" stopIfTrue="1">
      <formula>EXACT($D44,"Yellow")</formula>
    </cfRule>
    <cfRule type="expression" priority="27" dxfId="5" stopIfTrue="1">
      <formula>EXACT($D44,"Red")</formula>
    </cfRule>
  </conditionalFormatting>
  <conditionalFormatting sqref="I44:I58">
    <cfRule type="dataBar" priority="28">
      <dataBar>
        <cfvo type="num" val="0"/>
        <cfvo type="num" val="1"/>
        <color rgb="002E75B6"/>
      </dataBar>
    </cfRule>
  </conditionalFormatting>
  <dataValidations count="3">
    <dataValidation sqref="C42" showDropDown="0" showInputMessage="1" showErrorMessage="1" allowBlank="1" errorTitle="Value not allowed" error="Pick a value from the drop-down list (L_FilterStatus)." promptTitle="Select" prompt="Filter by project status" type="list" errorStyle="stop">
      <formula1>L_FilterStatus</formula1>
    </dataValidation>
    <dataValidation sqref="F42" showDropDown="0" showInputMessage="1" showErrorMessage="1" allowBlank="1" errorTitle="Value not allowed" error="Pick a value from the drop-down list (L_FilterRAG)." promptTitle="Select" prompt="Filter by RAG" type="list" errorStyle="stop">
      <formula1>L_FilterRAG</formula1>
    </dataValidation>
    <dataValidation sqref="I42" showDropDown="0" showInputMessage="1" showErrorMessage="1" allowBlank="1" errorTitle="Value not allowed" error="Pick a value from the drop-down list (L_FilterMgr)." promptTitle="Select" prompt="Filter by project manager" type="list" errorStyle="stop">
      <formula1>L_FilterMgr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T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2" customHeight="1">
      <c r="A1" s="1" t="inlineStr">
        <is>
          <t>PROJECT DASHBOARD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P1" s="21" t="inlineStr">
        <is>
          <t>AUTOMATIC CHART DATA - FORMULAS ONLY, DO NOT EDIT</t>
        </is>
      </c>
      <c r="Q1" s="22" t="n"/>
      <c r="R1" s="22" t="n"/>
      <c r="S1" s="22" t="n"/>
      <c r="T1" s="22" t="n"/>
    </row>
    <row r="2" ht="17" customHeight="1">
      <c r="A2" s="2">
        <f>"SINGLE PROJECT VIEW   -   "&amp;IF($D$3="","SELECT A PROJECT IN ROW 3",$D$3)</f>
        <v/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</row>
    <row r="3" ht="26" customHeight="1">
      <c r="A3" s="50" t="inlineStr">
        <is>
          <t>SELECT PROJECT:</t>
        </is>
      </c>
      <c r="B3" s="22" t="n"/>
      <c r="C3" s="22" t="n"/>
      <c r="D3" s="51" t="inlineStr">
        <is>
          <t>ERP Implementation</t>
        </is>
      </c>
      <c r="E3" s="52" t="n"/>
      <c r="F3" s="52" t="n"/>
      <c r="G3" s="52" t="n"/>
      <c r="H3" s="52" t="n"/>
      <c r="I3" s="53">
        <f>"AS AT "&amp;TEXT(TODAY(),"dd mmm yyyy")&amp;"   |   LAST UPDATED: "&amp;IFERROR(TEXT(INDEX('02_PROJECT_PORTFOLIO'!$W$5:$W$34,MATCH($D$3,'02_PROJECT_PORTFOLIO'!$C$5:$C$34,0)),"dd mmm yyyy"),"-")</f>
        <v/>
      </c>
      <c r="J3" s="54" t="n"/>
      <c r="K3" s="54" t="n"/>
      <c r="L3" s="54" t="n"/>
      <c r="M3" s="54" t="n"/>
      <c r="N3" s="54" t="n"/>
      <c r="P3" s="21" t="inlineStr">
        <is>
          <t>BLOCK 1 - TASK STATUS</t>
        </is>
      </c>
      <c r="Q3" s="22" t="n"/>
      <c r="R3" s="22" t="n"/>
      <c r="S3" s="22" t="n"/>
      <c r="T3" s="22" t="n"/>
    </row>
    <row r="4" ht="26" customHeight="1">
      <c r="A4" s="6" t="inlineStr">
        <is>
          <t>PROJECT SNAPSHOT - EVERY FIGURE FOLLOWS THE PROJECT SELECTED ABOVE</t>
        </is>
      </c>
      <c r="P4" s="23" t="inlineStr">
        <is>
          <t>Status</t>
        </is>
      </c>
      <c r="Q4" s="23" t="inlineStr">
        <is>
          <t>Tasks</t>
        </is>
      </c>
    </row>
    <row r="5" ht="17" customHeight="1">
      <c r="A5" s="24" t="inlineStr">
        <is>
          <t>STATUS</t>
        </is>
      </c>
      <c r="B5" s="25" t="n"/>
      <c r="C5" s="24" t="inlineStr">
        <is>
          <t>RAG</t>
        </is>
      </c>
      <c r="D5" s="25" t="n"/>
      <c r="E5" s="24" t="inlineStr">
        <is>
          <t>% COMPLETE</t>
        </is>
      </c>
      <c r="F5" s="25" t="n"/>
      <c r="G5" s="24" t="inlineStr">
        <is>
          <t>SCHEDULE VARIANCE</t>
        </is>
      </c>
      <c r="H5" s="25" t="n"/>
      <c r="I5" s="24" t="inlineStr">
        <is>
          <t>APPROVED AMOUNT</t>
        </is>
      </c>
      <c r="J5" s="25" t="n"/>
      <c r="K5" s="24" t="inlineStr">
        <is>
          <t>ACTUAL COST</t>
        </is>
      </c>
      <c r="L5" s="25" t="n"/>
      <c r="M5" s="24" t="inlineStr">
        <is>
          <t>FORECAST COST</t>
        </is>
      </c>
      <c r="N5" s="25" t="n"/>
      <c r="P5" s="26" t="inlineStr">
        <is>
          <t>Not Started</t>
        </is>
      </c>
      <c r="Q5" s="27">
        <f>COUNTIFS('04_WBS_SCHEDULE'!$B$5:$B$34,$D$3,'04_WBS_SCHEDULE'!$N$5:$N$34,P5)</f>
        <v/>
      </c>
    </row>
    <row r="6" ht="30" customHeight="1">
      <c r="A6" s="55">
        <f>IFERROR(INDEX('02_PROJECT_PORTFOLIO'!$M$5:$M$34,MATCH($D$3,'02_PROJECT_PORTFOLIO'!$C$5:$C$34,0)),"-")</f>
        <v/>
      </c>
      <c r="B6" s="12" t="n"/>
      <c r="C6" s="55">
        <f>IFERROR(INDEX('02_PROJECT_PORTFOLIO'!$N$5:$N$34,MATCH($D$3,'02_PROJECT_PORTFOLIO'!$C$5:$C$34,0)),"-")</f>
        <v/>
      </c>
      <c r="D6" s="12" t="n"/>
      <c r="E6" s="56">
        <f>IFERROR(INDEX('02_PROJECT_PORTFOLIO'!$L$5:$L$34,MATCH($D$3,'02_PROJECT_PORTFOLIO'!$C$5:$C$34,0)),"-")</f>
        <v/>
      </c>
      <c r="F6" s="12" t="n"/>
      <c r="G6" s="28">
        <f>IFERROR(INDEX('02_PROJECT_PORTFOLIO'!$R$5:$R$34,MATCH($D$3,'02_PROJECT_PORTFOLIO'!$C$5:$C$34,0)),"-")</f>
        <v/>
      </c>
      <c r="H6" s="12" t="n"/>
      <c r="I6" s="30">
        <f>IFERROR(INDEX('02_PROJECT_PORTFOLIO'!$O$5:$O$34,MATCH($D$3,'02_PROJECT_PORTFOLIO'!$C$5:$C$34,0)),"-")</f>
        <v/>
      </c>
      <c r="J6" s="12" t="n"/>
      <c r="K6" s="30">
        <f>IFERROR(INDEX('02_PROJECT_PORTFOLIO'!$P$5:$P$34,MATCH($D$3,'02_PROJECT_PORTFOLIO'!$C$5:$C$34,0)),"-")</f>
        <v/>
      </c>
      <c r="L6" s="12" t="n"/>
      <c r="M6" s="30">
        <f>IFERROR(INDEX('02_PROJECT_PORTFOLIO'!$Q$5:$Q$34,MATCH($D$3,'02_PROJECT_PORTFOLIO'!$C$5:$C$34,0)),"-")</f>
        <v/>
      </c>
      <c r="N6" s="12" t="n"/>
      <c r="P6" s="26" t="inlineStr">
        <is>
          <t>In Progress</t>
        </is>
      </c>
      <c r="Q6" s="27">
        <f>COUNTIFS('04_WBS_SCHEDULE'!$B$5:$B$34,$D$3,'04_WBS_SCHEDULE'!$N$5:$N$34,P6)</f>
        <v/>
      </c>
    </row>
    <row r="7" ht="15" customHeight="1">
      <c r="A7" s="29" t="inlineStr">
        <is>
          <t>LIFECYCLE STATUS</t>
        </is>
      </c>
      <c r="B7" s="12" t="n"/>
      <c r="C7" s="29" t="inlineStr">
        <is>
          <t>OVERALL HEALTH</t>
        </is>
      </c>
      <c r="D7" s="12" t="n"/>
      <c r="E7" s="29" t="inlineStr">
        <is>
          <t>REPORTED BY THE PM</t>
        </is>
      </c>
      <c r="F7" s="12" t="n"/>
      <c r="G7" s="29" t="inlineStr">
        <is>
          <t>FORECAST vs BASELINE (DAYS)</t>
        </is>
      </c>
      <c r="H7" s="12" t="n"/>
      <c r="I7" s="29" t="inlineStr">
        <is>
          <t>TOTAL APPROVED</t>
        </is>
      </c>
      <c r="J7" s="12" t="n"/>
      <c r="K7" s="29" t="inlineStr">
        <is>
          <t>SPENT TO DATE</t>
        </is>
      </c>
      <c r="L7" s="12" t="n"/>
      <c r="M7" s="29" t="inlineStr">
        <is>
          <t>EXPECTED AT COMPLETION</t>
        </is>
      </c>
      <c r="N7" s="12" t="n"/>
      <c r="P7" s="26" t="inlineStr">
        <is>
          <t>Complete</t>
        </is>
      </c>
      <c r="Q7" s="27">
        <f>COUNTIFS('04_WBS_SCHEDULE'!$B$5:$B$34,$D$3,'04_WBS_SCHEDULE'!$N$5:$N$34,P7)</f>
        <v/>
      </c>
    </row>
    <row r="8" ht="6" customHeight="1">
      <c r="P8" s="26" t="inlineStr">
        <is>
          <t>Blocked</t>
        </is>
      </c>
      <c r="Q8" s="27">
        <f>COUNTIFS('04_WBS_SCHEDULE'!$B$5:$B$34,$D$3,'04_WBS_SCHEDULE'!$N$5:$N$34,P8)</f>
        <v/>
      </c>
    </row>
    <row r="9" ht="17" customHeight="1">
      <c r="A9" s="24" t="inlineStr">
        <is>
          <t>PROJECT HEALTH</t>
        </is>
      </c>
      <c r="B9" s="25" t="n"/>
      <c r="C9" s="24" t="inlineStr">
        <is>
          <t>CUSTOMER</t>
        </is>
      </c>
      <c r="D9" s="25" t="n"/>
      <c r="E9" s="24" t="inlineStr">
        <is>
          <t>PROJECT MANAGER</t>
        </is>
      </c>
      <c r="F9" s="25" t="n"/>
      <c r="G9" s="24" t="inlineStr">
        <is>
          <t>DEPARTMENT</t>
        </is>
      </c>
      <c r="H9" s="25" t="n"/>
      <c r="I9" s="24" t="inlineStr">
        <is>
          <t>PRIORITY</t>
        </is>
      </c>
      <c r="J9" s="25" t="n"/>
      <c r="K9" s="24" t="inlineStr">
        <is>
          <t>START DATE</t>
        </is>
      </c>
      <c r="L9" s="25" t="n"/>
      <c r="M9" s="24" t="inlineStr">
        <is>
          <t>BASELINE END</t>
        </is>
      </c>
      <c r="N9" s="25" t="n"/>
    </row>
    <row r="10" ht="30" customHeight="1">
      <c r="A10" s="55">
        <f>IFERROR(INDEX('02_PROJECT_PORTFOLIO'!$V$5:$V$34,MATCH($D$3,'02_PROJECT_PORTFOLIO'!$C$5:$C$34,0)),"-")</f>
        <v/>
      </c>
      <c r="B10" s="12" t="n"/>
      <c r="C10" s="55">
        <f>IFERROR(INDEX('02_PROJECT_PORTFOLIO'!$B$5:$B$34,MATCH($D$3,'02_PROJECT_PORTFOLIO'!$C$5:$C$34,0)),"-")</f>
        <v/>
      </c>
      <c r="D10" s="12" t="n"/>
      <c r="E10" s="55">
        <f>IFERROR(INDEX('02_PROJECT_PORTFOLIO'!$D$5:$D$34,MATCH($D$3,'02_PROJECT_PORTFOLIO'!$C$5:$C$34,0)),"-")</f>
        <v/>
      </c>
      <c r="F10" s="12" t="n"/>
      <c r="G10" s="55">
        <f>IFERROR(INDEX('02_PROJECT_PORTFOLIO'!$E$5:$E$34,MATCH($D$3,'02_PROJECT_PORTFOLIO'!$C$5:$C$34,0)),"-")</f>
        <v/>
      </c>
      <c r="H10" s="12" t="n"/>
      <c r="I10" s="55">
        <f>IFERROR(INDEX('02_PROJECT_PORTFOLIO'!$G$5:$G$34,MATCH($D$3,'02_PROJECT_PORTFOLIO'!$C$5:$C$34,0)),"-")</f>
        <v/>
      </c>
      <c r="J10" s="12" t="n"/>
      <c r="K10" s="57">
        <f>IFERROR(INDEX('02_PROJECT_PORTFOLIO'!$H$5:$H$34,MATCH($D$3,'02_PROJECT_PORTFOLIO'!$C$5:$C$34,0)),"-")</f>
        <v/>
      </c>
      <c r="L10" s="12" t="n"/>
      <c r="M10" s="57">
        <f>IFERROR(INDEX('02_PROJECT_PORTFOLIO'!$I$5:$I$34,MATCH($D$3,'02_PROJECT_PORTFOLIO'!$C$5:$C$34,0)),"-")</f>
        <v/>
      </c>
      <c r="N10" s="12" t="n"/>
      <c r="P10" s="21" t="inlineStr">
        <is>
          <t>BLOCK 2 - TASKS BY OWNER</t>
        </is>
      </c>
      <c r="Q10" s="22" t="n"/>
      <c r="R10" s="22" t="n"/>
      <c r="S10" s="22" t="n"/>
      <c r="T10" s="22" t="n"/>
    </row>
    <row r="11" ht="26" customHeight="1">
      <c r="A11" s="29" t="inlineStr">
        <is>
          <t>AUTOMATIC FLAG</t>
        </is>
      </c>
      <c r="B11" s="12" t="n"/>
      <c r="C11" s="29" t="inlineStr">
        <is>
          <t>CLIENT / INTERNAL</t>
        </is>
      </c>
      <c r="D11" s="12" t="n"/>
      <c r="E11" s="29" t="inlineStr">
        <is>
          <t>ACCOUNTABLE OWNER</t>
        </is>
      </c>
      <c r="F11" s="12" t="n"/>
      <c r="G11" s="29" t="inlineStr">
        <is>
          <t>OWNING DEPARTMENT</t>
        </is>
      </c>
      <c r="H11" s="12" t="n"/>
      <c r="I11" s="29" t="inlineStr">
        <is>
          <t>BUSINESS PRIORITY</t>
        </is>
      </c>
      <c r="J11" s="12" t="n"/>
      <c r="K11" s="29" t="inlineStr">
        <is>
          <t>PLANNED START</t>
        </is>
      </c>
      <c r="L11" s="12" t="n"/>
      <c r="M11" s="29" t="inlineStr">
        <is>
          <t>CONTRACTUAL FINISH</t>
        </is>
      </c>
      <c r="N11" s="12" t="n"/>
      <c r="P11" s="23" t="inlineStr">
        <is>
          <t>Owner</t>
        </is>
      </c>
      <c r="Q11" s="23" t="inlineStr">
        <is>
          <t>Tasks</t>
        </is>
      </c>
    </row>
    <row r="12" ht="6" customHeight="1">
      <c r="P12" s="26" t="inlineStr">
        <is>
          <t>Ahmed Khan</t>
        </is>
      </c>
      <c r="Q12" s="27">
        <f>COUNTIFS('04_WBS_SCHEDULE'!$B$5:$B$34,$D$3,'04_WBS_SCHEDULE'!$F$5:$F$34,P12)</f>
        <v/>
      </c>
    </row>
    <row r="13" ht="20" customHeight="1">
      <c r="A13" s="6" t="inlineStr">
        <is>
          <t>PROJECT DETAIL (AUTOMATIC)</t>
        </is>
      </c>
      <c r="P13" s="26" t="inlineStr">
        <is>
          <t>Lisa Chen</t>
        </is>
      </c>
      <c r="Q13" s="27">
        <f>COUNTIFS('04_WBS_SCHEDULE'!$B$5:$B$34,$D$3,'04_WBS_SCHEDULE'!$F$5:$F$34,P13)</f>
        <v/>
      </c>
    </row>
    <row r="14" ht="22" customHeight="1">
      <c r="A14" s="58" t="inlineStr">
        <is>
          <t>SCHEDULE VARIANCE (DAYS)</t>
        </is>
      </c>
      <c r="B14" s="16" t="n"/>
      <c r="C14" s="59">
        <f>IFERROR(INDEX('02_PROJECT_PORTFOLIO'!$R$5:$R$34,MATCH($D$3,'02_PROJECT_PORTFOLIO'!$C$5:$C$34,0)),"-")</f>
        <v/>
      </c>
      <c r="D14" s="14" t="n"/>
      <c r="E14" s="14" t="n"/>
      <c r="F14" s="58" t="inlineStr">
        <is>
          <t>FORECAST vs APPROVED</t>
        </is>
      </c>
      <c r="G14" s="16" t="n"/>
      <c r="H14" s="60">
        <f>IFERROR(INDEX('02_PROJECT_PORTFOLIO'!$O$5:$O$34,MATCH($D$3,'02_PROJECT_PORTFOLIO'!$C$5:$C$34,0))-INDEX('02_PROJECT_PORTFOLIO'!$Q$5:$Q$34,MATCH($D$3,'02_PROJECT_PORTFOLIO'!$C$5:$C$34,0)),"-")</f>
        <v/>
      </c>
      <c r="I14" s="14" t="n"/>
      <c r="J14" s="14" t="n"/>
      <c r="K14" s="58" t="inlineStr">
        <is>
          <t>COST UTILISATION</t>
        </is>
      </c>
      <c r="L14" s="16" t="n"/>
      <c r="M14" s="61">
        <f>IFERROR(INDEX('02_PROJECT_PORTFOLIO'!$P$5:$P$34,MATCH($D$3,'02_PROJECT_PORTFOLIO'!$C$5:$C$34,0))/INDEX('02_PROJECT_PORTFOLIO'!$O$5:$O$34,MATCH($D$3,'02_PROJECT_PORTFOLIO'!$C$5:$C$34,0)),"-")</f>
        <v/>
      </c>
      <c r="N14" s="14" t="n"/>
      <c r="P14" s="26" t="inlineStr">
        <is>
          <t>David Okoro</t>
        </is>
      </c>
      <c r="Q14" s="27">
        <f>COUNTIFS('04_WBS_SCHEDULE'!$B$5:$B$34,$D$3,'04_WBS_SCHEDULE'!$F$5:$F$34,P14)</f>
        <v/>
      </c>
    </row>
    <row r="15" ht="22" customHeight="1">
      <c r="A15" s="58" t="inlineStr">
        <is>
          <t>BASELINE END</t>
        </is>
      </c>
      <c r="B15" s="16" t="n"/>
      <c r="C15" s="62">
        <f>IFERROR(INDEX('02_PROJECT_PORTFOLIO'!$I$5:$I$34,MATCH($D$3,'02_PROJECT_PORTFOLIO'!$C$5:$C$34,0)),"-")</f>
        <v/>
      </c>
      <c r="D15" s="14" t="n"/>
      <c r="E15" s="14" t="n"/>
      <c r="F15" s="58" t="inlineStr">
        <is>
          <t>FORECAST END</t>
        </is>
      </c>
      <c r="G15" s="16" t="n"/>
      <c r="H15" s="62">
        <f>IFERROR(INDEX('02_PROJECT_PORTFOLIO'!$J$5:$J$34,MATCH($D$3,'02_PROJECT_PORTFOLIO'!$C$5:$C$34,0)),"-")</f>
        <v/>
      </c>
      <c r="I15" s="14" t="n"/>
      <c r="J15" s="14" t="n"/>
      <c r="K15" s="58" t="inlineStr">
        <is>
          <t>ACTUAL END</t>
        </is>
      </c>
      <c r="L15" s="16" t="n"/>
      <c r="M15" s="62">
        <f>IFERROR(INDEX('02_PROJECT_PORTFOLIO'!$K$5:$K$34,MATCH($D$3,'02_PROJECT_PORTFOLIO'!$C$5:$C$34,0)),"-")</f>
        <v/>
      </c>
      <c r="N15" s="14" t="n"/>
      <c r="P15" s="26" t="inlineStr">
        <is>
          <t>Maria Silva</t>
        </is>
      </c>
      <c r="Q15" s="27">
        <f>COUNTIFS('04_WBS_SCHEDULE'!$B$5:$B$34,$D$3,'04_WBS_SCHEDULE'!$F$5:$F$34,P15)</f>
        <v/>
      </c>
    </row>
    <row r="16" ht="22" customHeight="1">
      <c r="A16" s="58" t="inlineStr">
        <is>
          <t>OPEN RISKS</t>
        </is>
      </c>
      <c r="B16" s="16" t="n"/>
      <c r="C16" s="59">
        <f>COUNTIFS('06_RAID_LOG'!$B$5:$B$34,$D$3,'06_RAID_LOG'!$C$5:$C$34,"Risk",'06_RAID_LOG'!$N$5:$N$34,"&lt;&gt;Closed")</f>
        <v/>
      </c>
      <c r="D16" s="14" t="n"/>
      <c r="E16" s="14" t="n"/>
      <c r="F16" s="58" t="inlineStr">
        <is>
          <t>OPEN ISSUES</t>
        </is>
      </c>
      <c r="G16" s="16" t="n"/>
      <c r="H16" s="59">
        <f>COUNTIFS('06_RAID_LOG'!$B$5:$B$34,$D$3,'06_RAID_LOG'!$C$5:$C$34,"Issue",'06_RAID_LOG'!$N$5:$N$34,"&lt;&gt;Closed")</f>
        <v/>
      </c>
      <c r="I16" s="14" t="n"/>
      <c r="J16" s="14" t="n"/>
      <c r="K16" s="58" t="inlineStr">
        <is>
          <t>OVERDUE ACTIONS</t>
        </is>
      </c>
      <c r="L16" s="16" t="n"/>
      <c r="M16" s="59">
        <f>COUNTIFS('07_ACTION_TRACKER'!$B$5:$B$34,$D$3,'07_ACTION_TRACKER'!$K$5:$K$34,"&gt;0")</f>
        <v/>
      </c>
      <c r="N16" s="14" t="n"/>
      <c r="P16" s="26" t="inlineStr">
        <is>
          <t>Priya Raman</t>
        </is>
      </c>
      <c r="Q16" s="27">
        <f>COUNTIFS('04_WBS_SCHEDULE'!$B$5:$B$34,$D$3,'04_WBS_SCHEDULE'!$F$5:$F$34,P16)</f>
        <v/>
      </c>
    </row>
    <row r="17" ht="22" customHeight="1">
      <c r="A17" s="58" t="inlineStr">
        <is>
          <t>NEXT MILESTONE</t>
        </is>
      </c>
      <c r="B17" s="16" t="n"/>
      <c r="C17" s="63">
        <f>IFERROR(INDEX('05_MILESTONES'!$C$5:$C$34,MATCH($D$3&amp;"|1",'05_MILESTONES'!$N$5:$N$34,0)),"-")</f>
        <v/>
      </c>
      <c r="D17" s="14" t="n"/>
      <c r="E17" s="14" t="n"/>
      <c r="F17" s="58" t="inlineStr">
        <is>
          <t>MILESTONE DATE</t>
        </is>
      </c>
      <c r="G17" s="16" t="n"/>
      <c r="H17" s="62">
        <f>IFERROR(INDEX('05_MILESTONES'!$F$5:$F$34,MATCH($D$3&amp;"|1",'05_MILESTONES'!$N$5:$N$34,0)),"-")</f>
        <v/>
      </c>
      <c r="I17" s="14" t="n"/>
      <c r="J17" s="14" t="n"/>
      <c r="K17" s="58" t="inlineStr">
        <is>
          <t>TASKS COMPLETE</t>
        </is>
      </c>
      <c r="L17" s="16" t="n"/>
      <c r="M17" s="63">
        <f>IF(COUNTIF('04_WBS_SCHEDULE'!$B$5:$B$34,$D$3)=0,"-",COUNTIFS('04_WBS_SCHEDULE'!$B$5:$B$34,$D$3,'04_WBS_SCHEDULE'!$N$5:$N$34,"Complete")&amp;" of "&amp;COUNTIF('04_WBS_SCHEDULE'!$B$5:$B$34,$D$3))</f>
        <v/>
      </c>
      <c r="N17" s="14" t="n"/>
      <c r="P17" s="26" t="inlineStr">
        <is>
          <t>Tom Becker</t>
        </is>
      </c>
      <c r="Q17" s="27">
        <f>COUNTIFS('04_WBS_SCHEDULE'!$B$5:$B$34,$D$3,'04_WBS_SCHEDULE'!$F$5:$F$34,P17)</f>
        <v/>
      </c>
    </row>
    <row r="18">
      <c r="P18" s="26" t="inlineStr">
        <is>
          <t>Grace Alemu</t>
        </is>
      </c>
      <c r="Q18" s="27">
        <f>COUNTIFS('04_WBS_SCHEDULE'!$B$5:$B$34,$D$3,'04_WBS_SCHEDULE'!$F$5:$F$34,P18)</f>
        <v/>
      </c>
    </row>
    <row r="19" ht="19" customHeight="1">
      <c r="A19" s="31">
        <f>"TOP OPEN RISKS   ("&amp;COUNTIFS('06_RAID_LOG'!$B$5:$B$34,$D$3,'06_RAID_LOG'!$C$5:$C$34,"Risk",'06_RAID_LOG'!$N$5:$N$34,"&lt;&gt;Closed")&amp;")"</f>
        <v/>
      </c>
      <c r="B19" s="32" t="n"/>
      <c r="C19" s="32" t="n"/>
      <c r="D19" s="32" t="n"/>
      <c r="E19" s="32" t="n"/>
      <c r="F19" s="32" t="n"/>
      <c r="G19" s="32" t="n"/>
      <c r="H19" s="31">
        <f>"TOP ISSUES   ("&amp;COUNTIFS('06_RAID_LOG'!$B$5:$B$34,$D$3,'06_RAID_LOG'!$C$5:$C$34,"Issue",'06_RAID_LOG'!$N$5:$N$34,"&lt;&gt;Closed")&amp;")"</f>
        <v/>
      </c>
      <c r="I19" s="32" t="n"/>
      <c r="J19" s="32" t="n"/>
      <c r="K19" s="32" t="n"/>
      <c r="L19" s="32" t="n"/>
      <c r="M19" s="32" t="n"/>
      <c r="N19" s="32" t="n"/>
      <c r="P19" s="26" t="inlineStr">
        <is>
          <t>Sarah Mitchell</t>
        </is>
      </c>
      <c r="Q19" s="27">
        <f>COUNTIFS('04_WBS_SCHEDULE'!$B$5:$B$34,$D$3,'04_WBS_SCHEDULE'!$F$5:$F$34,P19)</f>
        <v/>
      </c>
    </row>
    <row r="20" ht="16" customHeight="1">
      <c r="A20" s="33">
        <f>"•"&amp;IFERROR(INDEX('06_RAID_LOG'!$D$5:$D$34,MATCH("Risk|"&amp;$D$3&amp;"|1",'06_RAID_LOG'!$T$5:$T$34,0))&amp;"   ("&amp;INDEX('06_RAID_LOG'!$I$5:$I$34,MATCH("Risk|"&amp;$D$3&amp;"|1",'06_RAID_LOG'!$T$5:$T$34,0))&amp;" - "&amp;INDEX('06_RAID_LOG'!$J$5:$J$34,MATCH("Risk|"&amp;$D$3&amp;"|1",'06_RAID_LOG'!$T$5:$T$34,0))&amp;")","")</f>
        <v/>
      </c>
      <c r="B20" s="14" t="n"/>
      <c r="C20" s="14" t="n"/>
      <c r="D20" s="14" t="n"/>
      <c r="E20" s="14" t="n"/>
      <c r="F20" s="14" t="n"/>
      <c r="G20" s="14" t="n"/>
      <c r="H20" s="33">
        <f>"•"&amp;IFERROR(INDEX('06_RAID_LOG'!$D$5:$D$34,MATCH("Issue|"&amp;$D$3&amp;"|1",'06_RAID_LOG'!$T$5:$T$34,0))&amp;"   ("&amp;INDEX('06_RAID_LOG'!$I$5:$I$34,MATCH("Issue|"&amp;$D$3&amp;"|1",'06_RAID_LOG'!$T$5:$T$34,0))&amp;" - "&amp;INDEX('06_RAID_LOG'!$J$5:$J$34,MATCH("Issue|"&amp;$D$3&amp;"|1",'06_RAID_LOG'!$T$5:$T$34,0))&amp;")","")</f>
        <v/>
      </c>
      <c r="I20" s="14" t="n"/>
      <c r="J20" s="14" t="n"/>
      <c r="K20" s="14" t="n"/>
      <c r="L20" s="14" t="n"/>
      <c r="M20" s="14" t="n"/>
      <c r="N20" s="14" t="n"/>
    </row>
    <row r="21" ht="16" customHeight="1">
      <c r="A21" s="34">
        <f>"•"&amp;IFERROR(INDEX('06_RAID_LOG'!$D$5:$D$34,MATCH("Risk|"&amp;$D$3&amp;"|2",'06_RAID_LOG'!$T$5:$T$34,0))&amp;"   ("&amp;INDEX('06_RAID_LOG'!$I$5:$I$34,MATCH("Risk|"&amp;$D$3&amp;"|2",'06_RAID_LOG'!$T$5:$T$34,0))&amp;" - "&amp;INDEX('06_RAID_LOG'!$J$5:$J$34,MATCH("Risk|"&amp;$D$3&amp;"|2",'06_RAID_LOG'!$T$5:$T$34,0))&amp;")","")</f>
        <v/>
      </c>
      <c r="B21" s="16" t="n"/>
      <c r="C21" s="16" t="n"/>
      <c r="D21" s="16" t="n"/>
      <c r="E21" s="16" t="n"/>
      <c r="F21" s="16" t="n"/>
      <c r="G21" s="16" t="n"/>
      <c r="H21" s="34">
        <f>"•"&amp;IFERROR(INDEX('06_RAID_LOG'!$D$5:$D$34,MATCH("Issue|"&amp;$D$3&amp;"|2",'06_RAID_LOG'!$T$5:$T$34,0))&amp;"   ("&amp;INDEX('06_RAID_LOG'!$I$5:$I$34,MATCH("Issue|"&amp;$D$3&amp;"|2",'06_RAID_LOG'!$T$5:$T$34,0))&amp;" - "&amp;INDEX('06_RAID_LOG'!$J$5:$J$34,MATCH("Issue|"&amp;$D$3&amp;"|2",'06_RAID_LOG'!$T$5:$T$34,0))&amp;")","")</f>
        <v/>
      </c>
      <c r="I21" s="16" t="n"/>
      <c r="J21" s="16" t="n"/>
      <c r="K21" s="16" t="n"/>
      <c r="L21" s="16" t="n"/>
      <c r="M21" s="16" t="n"/>
      <c r="N21" s="16" t="n"/>
      <c r="P21" s="21" t="inlineStr">
        <is>
          <t>BLOCK 3 - OPEN RAID BY TYPE</t>
        </is>
      </c>
      <c r="Q21" s="22" t="n"/>
      <c r="R21" s="22" t="n"/>
      <c r="S21" s="22" t="n"/>
      <c r="T21" s="22" t="n"/>
    </row>
    <row r="22" ht="26" customHeight="1">
      <c r="A22" s="33">
        <f>"•"&amp;IFERROR(INDEX('06_RAID_LOG'!$D$5:$D$34,MATCH("Risk|"&amp;$D$3&amp;"|3",'06_RAID_LOG'!$T$5:$T$34,0))&amp;"   ("&amp;INDEX('06_RAID_LOG'!$I$5:$I$34,MATCH("Risk|"&amp;$D$3&amp;"|3",'06_RAID_LOG'!$T$5:$T$34,0))&amp;" - "&amp;INDEX('06_RAID_LOG'!$J$5:$J$34,MATCH("Risk|"&amp;$D$3&amp;"|3",'06_RAID_LOG'!$T$5:$T$34,0))&amp;")","")</f>
        <v/>
      </c>
      <c r="B22" s="14" t="n"/>
      <c r="C22" s="14" t="n"/>
      <c r="D22" s="14" t="n"/>
      <c r="E22" s="14" t="n"/>
      <c r="F22" s="14" t="n"/>
      <c r="G22" s="14" t="n"/>
      <c r="H22" s="33">
        <f>"•"&amp;IFERROR(INDEX('06_RAID_LOG'!$D$5:$D$34,MATCH("Issue|"&amp;$D$3&amp;"|3",'06_RAID_LOG'!$T$5:$T$34,0))&amp;"   ("&amp;INDEX('06_RAID_LOG'!$I$5:$I$34,MATCH("Issue|"&amp;$D$3&amp;"|3",'06_RAID_LOG'!$T$5:$T$34,0))&amp;" - "&amp;INDEX('06_RAID_LOG'!$J$5:$J$34,MATCH("Issue|"&amp;$D$3&amp;"|3",'06_RAID_LOG'!$T$5:$T$34,0))&amp;")","")</f>
        <v/>
      </c>
      <c r="I22" s="14" t="n"/>
      <c r="J22" s="14" t="n"/>
      <c r="K22" s="14" t="n"/>
      <c r="L22" s="14" t="n"/>
      <c r="M22" s="14" t="n"/>
      <c r="N22" s="14" t="n"/>
      <c r="P22" s="23" t="inlineStr">
        <is>
          <t>Type</t>
        </is>
      </c>
      <c r="Q22" s="23" t="inlineStr">
        <is>
          <t>Open items</t>
        </is>
      </c>
    </row>
    <row r="23" ht="16" customHeight="1">
      <c r="A23" s="34">
        <f>"•"&amp;IFERROR(INDEX('06_RAID_LOG'!$D$5:$D$34,MATCH("Risk|"&amp;$D$3&amp;"|4",'06_RAID_LOG'!$T$5:$T$34,0))&amp;"   ("&amp;INDEX('06_RAID_LOG'!$I$5:$I$34,MATCH("Risk|"&amp;$D$3&amp;"|4",'06_RAID_LOG'!$T$5:$T$34,0))&amp;" - "&amp;INDEX('06_RAID_LOG'!$J$5:$J$34,MATCH("Risk|"&amp;$D$3&amp;"|4",'06_RAID_LOG'!$T$5:$T$34,0))&amp;")","")</f>
        <v/>
      </c>
      <c r="B23" s="16" t="n"/>
      <c r="C23" s="16" t="n"/>
      <c r="D23" s="16" t="n"/>
      <c r="E23" s="16" t="n"/>
      <c r="F23" s="16" t="n"/>
      <c r="G23" s="16" t="n"/>
      <c r="H23" s="34">
        <f>"•"&amp;IFERROR(INDEX('06_RAID_LOG'!$D$5:$D$34,MATCH("Issue|"&amp;$D$3&amp;"|4",'06_RAID_LOG'!$T$5:$T$34,0))&amp;"   ("&amp;INDEX('06_RAID_LOG'!$I$5:$I$34,MATCH("Issue|"&amp;$D$3&amp;"|4",'06_RAID_LOG'!$T$5:$T$34,0))&amp;" - "&amp;INDEX('06_RAID_LOG'!$J$5:$J$34,MATCH("Issue|"&amp;$D$3&amp;"|4",'06_RAID_LOG'!$T$5:$T$34,0))&amp;")","")</f>
        <v/>
      </c>
      <c r="I23" s="16" t="n"/>
      <c r="J23" s="16" t="n"/>
      <c r="K23" s="16" t="n"/>
      <c r="L23" s="16" t="n"/>
      <c r="M23" s="16" t="n"/>
      <c r="N23" s="16" t="n"/>
      <c r="P23" s="26" t="inlineStr">
        <is>
          <t>Risk</t>
        </is>
      </c>
      <c r="Q23" s="27">
        <f>COUNTIFS('06_RAID_LOG'!$B$5:$B$34,$D$3,'06_RAID_LOG'!$C$5:$C$34,P23,'06_RAID_LOG'!$N$5:$N$34,"&lt;&gt;Closed")</f>
        <v/>
      </c>
    </row>
    <row r="24" ht="16" customHeight="1">
      <c r="A24" s="33">
        <f>"•"&amp;IFERROR(INDEX('06_RAID_LOG'!$D$5:$D$34,MATCH("Risk|"&amp;$D$3&amp;"|5",'06_RAID_LOG'!$T$5:$T$34,0))&amp;"   ("&amp;INDEX('06_RAID_LOG'!$I$5:$I$34,MATCH("Risk|"&amp;$D$3&amp;"|5",'06_RAID_LOG'!$T$5:$T$34,0))&amp;" - "&amp;INDEX('06_RAID_LOG'!$J$5:$J$34,MATCH("Risk|"&amp;$D$3&amp;"|5",'06_RAID_LOG'!$T$5:$T$34,0))&amp;")","")</f>
        <v/>
      </c>
      <c r="B24" s="14" t="n"/>
      <c r="C24" s="14" t="n"/>
      <c r="D24" s="14" t="n"/>
      <c r="E24" s="14" t="n"/>
      <c r="F24" s="14" t="n"/>
      <c r="G24" s="14" t="n"/>
      <c r="H24" s="33">
        <f>"•"&amp;IFERROR(INDEX('06_RAID_LOG'!$D$5:$D$34,MATCH("Issue|"&amp;$D$3&amp;"|5",'06_RAID_LOG'!$T$5:$T$34,0))&amp;"   ("&amp;INDEX('06_RAID_LOG'!$I$5:$I$34,MATCH("Issue|"&amp;$D$3&amp;"|5",'06_RAID_LOG'!$T$5:$T$34,0))&amp;" - "&amp;INDEX('06_RAID_LOG'!$J$5:$J$34,MATCH("Issue|"&amp;$D$3&amp;"|5",'06_RAID_LOG'!$T$5:$T$34,0))&amp;")","")</f>
        <v/>
      </c>
      <c r="I24" s="14" t="n"/>
      <c r="J24" s="14" t="n"/>
      <c r="K24" s="14" t="n"/>
      <c r="L24" s="14" t="n"/>
      <c r="M24" s="14" t="n"/>
      <c r="N24" s="14" t="n"/>
      <c r="P24" s="26" t="inlineStr">
        <is>
          <t>Assumption</t>
        </is>
      </c>
      <c r="Q24" s="27">
        <f>COUNTIFS('06_RAID_LOG'!$B$5:$B$34,$D$3,'06_RAID_LOG'!$C$5:$C$34,P24,'06_RAID_LOG'!$N$5:$N$34,"&lt;&gt;Closed")</f>
        <v/>
      </c>
    </row>
    <row r="25">
      <c r="P25" s="26" t="inlineStr">
        <is>
          <t>Issue</t>
        </is>
      </c>
      <c r="Q25" s="27">
        <f>COUNTIFS('06_RAID_LOG'!$B$5:$B$34,$D$3,'06_RAID_LOG'!$C$5:$C$34,P25,'06_RAID_LOG'!$N$5:$N$34,"&lt;&gt;Closed")</f>
        <v/>
      </c>
    </row>
    <row r="26" ht="19" customHeight="1">
      <c r="A26" s="31">
        <f>"OPEN ACTIONS   ("&amp;COUNTIFS('07_ACTION_TRACKER'!$B$5:$B$34,$D$3,'07_ACTION_TRACKER'!$I$5:$I$34,"&lt;&gt;Complete")&amp;")"</f>
        <v/>
      </c>
      <c r="B26" s="32" t="n"/>
      <c r="C26" s="32" t="n"/>
      <c r="D26" s="32" t="n"/>
      <c r="E26" s="32" t="n"/>
      <c r="F26" s="32" t="n"/>
      <c r="G26" s="32" t="n"/>
      <c r="H26" s="31">
        <f>"UPCOMING MILESTONES   ("&amp;COUNTIFS('05_MILESTONES'!$B$5:$B$34,$D$3,'05_MILESTONES'!$H$5:$H$34,"&lt;&gt;Complete")&amp;")"</f>
        <v/>
      </c>
      <c r="I26" s="32" t="n"/>
      <c r="J26" s="32" t="n"/>
      <c r="K26" s="32" t="n"/>
      <c r="L26" s="32" t="n"/>
      <c r="M26" s="32" t="n"/>
      <c r="N26" s="32" t="n"/>
      <c r="P26" s="26" t="inlineStr">
        <is>
          <t>Dependency</t>
        </is>
      </c>
      <c r="Q26" s="27">
        <f>COUNTIFS('06_RAID_LOG'!$B$5:$B$34,$D$3,'06_RAID_LOG'!$C$5:$C$34,P26,'06_RAID_LOG'!$N$5:$N$34,"&lt;&gt;Closed")</f>
        <v/>
      </c>
    </row>
    <row r="27" ht="16" customHeight="1">
      <c r="A27" s="33">
        <f>"•"&amp;IFERROR(INDEX('07_ACTION_TRACKER'!$E$5:$E$34,MATCH($D$3&amp;"|1",'07_ACTION_TRACKER'!$P$5:$P$34,0))&amp;": "&amp;LEFT(INDEX('07_ACTION_TRACKER'!$D$5:$D$34,MATCH($D$3&amp;"|1",'07_ACTION_TRACKER'!$P$5:$P$34,0)),40)&amp;"   due "&amp;TEXT(INDEX('07_ACTION_TRACKER'!$H$5:$H$34,MATCH($D$3&amp;"|1",'07_ACTION_TRACKER'!$P$5:$P$34,0)),"dd-mmm"),"")</f>
        <v/>
      </c>
      <c r="B27" s="14" t="n"/>
      <c r="C27" s="14" t="n"/>
      <c r="D27" s="14" t="n"/>
      <c r="E27" s="14" t="n"/>
      <c r="F27" s="14" t="n"/>
      <c r="G27" s="14" t="n"/>
      <c r="H27" s="33">
        <f>"•"&amp;IFERROR(INDEX('05_MILESTONES'!$C$5:$C$34,MATCH($D$3&amp;"|1",'05_MILESTONES'!$N$5:$N$34,0))&amp;"   ("&amp;TEXT(INDEX('05_MILESTONES'!$F$5:$F$34,MATCH($D$3&amp;"|1",'05_MILESTONES'!$N$5:$N$34,0)),"dd-mmm-yy")&amp;", "&amp;INDEX('05_MILESTONES'!$D$5:$D$34,MATCH($D$3&amp;"|1",'05_MILESTONES'!$N$5:$N$34,0))&amp;")","")</f>
        <v/>
      </c>
      <c r="I27" s="14" t="n"/>
      <c r="J27" s="14" t="n"/>
      <c r="K27" s="14" t="n"/>
      <c r="L27" s="14" t="n"/>
      <c r="M27" s="14" t="n"/>
      <c r="N27" s="14" t="n"/>
    </row>
    <row r="28" ht="16" customHeight="1">
      <c r="A28" s="34">
        <f>"•"&amp;IFERROR(INDEX('07_ACTION_TRACKER'!$E$5:$E$34,MATCH($D$3&amp;"|2",'07_ACTION_TRACKER'!$P$5:$P$34,0))&amp;": "&amp;LEFT(INDEX('07_ACTION_TRACKER'!$D$5:$D$34,MATCH($D$3&amp;"|2",'07_ACTION_TRACKER'!$P$5:$P$34,0)),40)&amp;"   due "&amp;TEXT(INDEX('07_ACTION_TRACKER'!$H$5:$H$34,MATCH($D$3&amp;"|2",'07_ACTION_TRACKER'!$P$5:$P$34,0)),"dd-mmm"),"")</f>
        <v/>
      </c>
      <c r="B28" s="16" t="n"/>
      <c r="C28" s="16" t="n"/>
      <c r="D28" s="16" t="n"/>
      <c r="E28" s="16" t="n"/>
      <c r="F28" s="16" t="n"/>
      <c r="G28" s="16" t="n"/>
      <c r="H28" s="34">
        <f>"•"&amp;IFERROR(INDEX('05_MILESTONES'!$C$5:$C$34,MATCH($D$3&amp;"|2",'05_MILESTONES'!$N$5:$N$34,0))&amp;"   ("&amp;TEXT(INDEX('05_MILESTONES'!$F$5:$F$34,MATCH($D$3&amp;"|2",'05_MILESTONES'!$N$5:$N$34,0)),"dd-mmm-yy")&amp;", "&amp;INDEX('05_MILESTONES'!$D$5:$D$34,MATCH($D$3&amp;"|2",'05_MILESTONES'!$N$5:$N$34,0))&amp;")","")</f>
        <v/>
      </c>
      <c r="I28" s="16" t="n"/>
      <c r="J28" s="16" t="n"/>
      <c r="K28" s="16" t="n"/>
      <c r="L28" s="16" t="n"/>
      <c r="M28" s="16" t="n"/>
      <c r="N28" s="16" t="n"/>
      <c r="P28" s="21" t="inlineStr">
        <is>
          <t>BLOCK 4 - COST BY CATEGORY</t>
        </is>
      </c>
      <c r="Q28" s="22" t="n"/>
      <c r="R28" s="22" t="n"/>
      <c r="S28" s="22" t="n"/>
      <c r="T28" s="22" t="n"/>
    </row>
    <row r="29" ht="26" customHeight="1">
      <c r="A29" s="33">
        <f>"•"&amp;IFERROR(INDEX('07_ACTION_TRACKER'!$E$5:$E$34,MATCH($D$3&amp;"|3",'07_ACTION_TRACKER'!$P$5:$P$34,0))&amp;": "&amp;LEFT(INDEX('07_ACTION_TRACKER'!$D$5:$D$34,MATCH($D$3&amp;"|3",'07_ACTION_TRACKER'!$P$5:$P$34,0)),40)&amp;"   due "&amp;TEXT(INDEX('07_ACTION_TRACKER'!$H$5:$H$34,MATCH($D$3&amp;"|3",'07_ACTION_TRACKER'!$P$5:$P$34,0)),"dd-mmm"),"")</f>
        <v/>
      </c>
      <c r="B29" s="14" t="n"/>
      <c r="C29" s="14" t="n"/>
      <c r="D29" s="14" t="n"/>
      <c r="E29" s="14" t="n"/>
      <c r="F29" s="14" t="n"/>
      <c r="G29" s="14" t="n"/>
      <c r="H29" s="33">
        <f>"•"&amp;IFERROR(INDEX('05_MILESTONES'!$C$5:$C$34,MATCH($D$3&amp;"|3",'05_MILESTONES'!$N$5:$N$34,0))&amp;"   ("&amp;TEXT(INDEX('05_MILESTONES'!$F$5:$F$34,MATCH($D$3&amp;"|3",'05_MILESTONES'!$N$5:$N$34,0)),"dd-mmm-yy")&amp;", "&amp;INDEX('05_MILESTONES'!$D$5:$D$34,MATCH($D$3&amp;"|3",'05_MILESTONES'!$N$5:$N$34,0))&amp;")","")</f>
        <v/>
      </c>
      <c r="I29" s="14" t="n"/>
      <c r="J29" s="14" t="n"/>
      <c r="K29" s="14" t="n"/>
      <c r="L29" s="14" t="n"/>
      <c r="M29" s="14" t="n"/>
      <c r="N29" s="14" t="n"/>
      <c r="P29" s="23" t="inlineStr">
        <is>
          <t>Category</t>
        </is>
      </c>
      <c r="Q29" s="23" t="inlineStr">
        <is>
          <t>Approved</t>
        </is>
      </c>
      <c r="R29" s="23" t="inlineStr">
        <is>
          <t>Actual</t>
        </is>
      </c>
      <c r="S29" s="23" t="inlineStr">
        <is>
          <t>Forecast</t>
        </is>
      </c>
    </row>
    <row r="30" ht="16" customHeight="1">
      <c r="A30" s="34">
        <f>"•"&amp;IFERROR(INDEX('07_ACTION_TRACKER'!$E$5:$E$34,MATCH($D$3&amp;"|4",'07_ACTION_TRACKER'!$P$5:$P$34,0))&amp;": "&amp;LEFT(INDEX('07_ACTION_TRACKER'!$D$5:$D$34,MATCH($D$3&amp;"|4",'07_ACTION_TRACKER'!$P$5:$P$34,0)),40)&amp;"   due "&amp;TEXT(INDEX('07_ACTION_TRACKER'!$H$5:$H$34,MATCH($D$3&amp;"|4",'07_ACTION_TRACKER'!$P$5:$P$34,0)),"dd-mmm"),"")</f>
        <v/>
      </c>
      <c r="B30" s="16" t="n"/>
      <c r="C30" s="16" t="n"/>
      <c r="D30" s="16" t="n"/>
      <c r="E30" s="16" t="n"/>
      <c r="F30" s="16" t="n"/>
      <c r="G30" s="16" t="n"/>
      <c r="H30" s="34">
        <f>"•"&amp;IFERROR(INDEX('05_MILESTONES'!$C$5:$C$34,MATCH($D$3&amp;"|4",'05_MILESTONES'!$N$5:$N$34,0))&amp;"   ("&amp;TEXT(INDEX('05_MILESTONES'!$F$5:$F$34,MATCH($D$3&amp;"|4",'05_MILESTONES'!$N$5:$N$34,0)),"dd-mmm-yy")&amp;", "&amp;INDEX('05_MILESTONES'!$D$5:$D$34,MATCH($D$3&amp;"|4",'05_MILESTONES'!$N$5:$N$34,0))&amp;")","")</f>
        <v/>
      </c>
      <c r="I30" s="16" t="n"/>
      <c r="J30" s="16" t="n"/>
      <c r="K30" s="16" t="n"/>
      <c r="L30" s="16" t="n"/>
      <c r="M30" s="16" t="n"/>
      <c r="N30" s="16" t="n"/>
      <c r="P30" s="26" t="inlineStr">
        <is>
          <t>Personnel</t>
        </is>
      </c>
      <c r="Q30" s="47">
        <f>SUMIFS('11_COST_MANAGEMENT'!$E$5:$E$34,'11_COST_MANAGEMENT'!$B$5:$B$34,$D$3,'11_COST_MANAGEMENT'!$C$5:$C$34,$P30)</f>
        <v/>
      </c>
      <c r="R30" s="47">
        <f>SUMIFS('11_COST_MANAGEMENT'!$G$5:$G$34,'11_COST_MANAGEMENT'!$B$5:$B$34,$D$3,'11_COST_MANAGEMENT'!$C$5:$C$34,$P30)</f>
        <v/>
      </c>
      <c r="S30" s="47">
        <f>SUMIFS('11_COST_MANAGEMENT'!$H$5:$H$34,'11_COST_MANAGEMENT'!$B$5:$B$34,$D$3,'11_COST_MANAGEMENT'!$C$5:$C$34,$P30)</f>
        <v/>
      </c>
    </row>
    <row r="31" ht="16" customHeight="1">
      <c r="A31" s="33">
        <f>"•"&amp;IFERROR(INDEX('07_ACTION_TRACKER'!$E$5:$E$34,MATCH($D$3&amp;"|5",'07_ACTION_TRACKER'!$P$5:$P$34,0))&amp;": "&amp;LEFT(INDEX('07_ACTION_TRACKER'!$D$5:$D$34,MATCH($D$3&amp;"|5",'07_ACTION_TRACKER'!$P$5:$P$34,0)),40)&amp;"   due "&amp;TEXT(INDEX('07_ACTION_TRACKER'!$H$5:$H$34,MATCH($D$3&amp;"|5",'07_ACTION_TRACKER'!$P$5:$P$34,0)),"dd-mmm"),"")</f>
        <v/>
      </c>
      <c r="B31" s="14" t="n"/>
      <c r="C31" s="14" t="n"/>
      <c r="D31" s="14" t="n"/>
      <c r="E31" s="14" t="n"/>
      <c r="F31" s="14" t="n"/>
      <c r="G31" s="14" t="n"/>
      <c r="H31" s="33">
        <f>"•"&amp;IFERROR(INDEX('05_MILESTONES'!$C$5:$C$34,MATCH($D$3&amp;"|5",'05_MILESTONES'!$N$5:$N$34,0))&amp;"   ("&amp;TEXT(INDEX('05_MILESTONES'!$F$5:$F$34,MATCH($D$3&amp;"|5",'05_MILESTONES'!$N$5:$N$34,0)),"dd-mmm-yy")&amp;", "&amp;INDEX('05_MILESTONES'!$D$5:$D$34,MATCH($D$3&amp;"|5",'05_MILESTONES'!$N$5:$N$34,0))&amp;")","")</f>
        <v/>
      </c>
      <c r="I31" s="14" t="n"/>
      <c r="J31" s="14" t="n"/>
      <c r="K31" s="14" t="n"/>
      <c r="L31" s="14" t="n"/>
      <c r="M31" s="14" t="n"/>
      <c r="N31" s="14" t="n"/>
      <c r="P31" s="26" t="inlineStr">
        <is>
          <t>Software</t>
        </is>
      </c>
      <c r="Q31" s="47">
        <f>SUMIFS('11_COST_MANAGEMENT'!$E$5:$E$34,'11_COST_MANAGEMENT'!$B$5:$B$34,$D$3,'11_COST_MANAGEMENT'!$C$5:$C$34,$P31)</f>
        <v/>
      </c>
      <c r="R31" s="47">
        <f>SUMIFS('11_COST_MANAGEMENT'!$G$5:$G$34,'11_COST_MANAGEMENT'!$B$5:$B$34,$D$3,'11_COST_MANAGEMENT'!$C$5:$C$34,$P31)</f>
        <v/>
      </c>
      <c r="S31" s="47">
        <f>SUMIFS('11_COST_MANAGEMENT'!$H$5:$H$34,'11_COST_MANAGEMENT'!$B$5:$B$34,$D$3,'11_COST_MANAGEMENT'!$C$5:$C$34,$P31)</f>
        <v/>
      </c>
    </row>
    <row r="32" ht="6" customHeight="1">
      <c r="P32" s="26" t="inlineStr">
        <is>
          <t>Hardware</t>
        </is>
      </c>
      <c r="Q32" s="47">
        <f>SUMIFS('11_COST_MANAGEMENT'!$E$5:$E$34,'11_COST_MANAGEMENT'!$B$5:$B$34,$D$3,'11_COST_MANAGEMENT'!$C$5:$C$34,$P32)</f>
        <v/>
      </c>
      <c r="R32" s="47">
        <f>SUMIFS('11_COST_MANAGEMENT'!$G$5:$G$34,'11_COST_MANAGEMENT'!$B$5:$B$34,$D$3,'11_COST_MANAGEMENT'!$C$5:$C$34,$P32)</f>
        <v/>
      </c>
      <c r="S32" s="47">
        <f>SUMIFS('11_COST_MANAGEMENT'!$H$5:$H$34,'11_COST_MANAGEMENT'!$B$5:$B$34,$D$3,'11_COST_MANAGEMENT'!$C$5:$C$34,$P32)</f>
        <v/>
      </c>
    </row>
    <row r="33" ht="20" customHeight="1">
      <c r="A33" s="6" t="inlineStr">
        <is>
          <t>PROJECT CHARTS - RECALCULATE WHEN YOU CHANGE THE PROJECT SELECTED ABOVE</t>
        </is>
      </c>
      <c r="P33" s="26" t="inlineStr">
        <is>
          <t>Procurement</t>
        </is>
      </c>
      <c r="Q33" s="47">
        <f>SUMIFS('11_COST_MANAGEMENT'!$E$5:$E$34,'11_COST_MANAGEMENT'!$B$5:$B$34,$D$3,'11_COST_MANAGEMENT'!$C$5:$C$34,$P33)</f>
        <v/>
      </c>
      <c r="R33" s="47">
        <f>SUMIFS('11_COST_MANAGEMENT'!$G$5:$G$34,'11_COST_MANAGEMENT'!$B$5:$B$34,$D$3,'11_COST_MANAGEMENT'!$C$5:$C$34,$P33)</f>
        <v/>
      </c>
      <c r="S33" s="47">
        <f>SUMIFS('11_COST_MANAGEMENT'!$H$5:$H$34,'11_COST_MANAGEMENT'!$B$5:$B$34,$D$3,'11_COST_MANAGEMENT'!$C$5:$C$34,$P33)</f>
        <v/>
      </c>
    </row>
    <row r="34">
      <c r="P34" s="26" t="inlineStr">
        <is>
          <t>Consulting</t>
        </is>
      </c>
      <c r="Q34" s="47">
        <f>SUMIFS('11_COST_MANAGEMENT'!$E$5:$E$34,'11_COST_MANAGEMENT'!$B$5:$B$34,$D$3,'11_COST_MANAGEMENT'!$C$5:$C$34,$P34)</f>
        <v/>
      </c>
      <c r="R34" s="47">
        <f>SUMIFS('11_COST_MANAGEMENT'!$G$5:$G$34,'11_COST_MANAGEMENT'!$B$5:$B$34,$D$3,'11_COST_MANAGEMENT'!$C$5:$C$34,$P34)</f>
        <v/>
      </c>
      <c r="S34" s="47">
        <f>SUMIFS('11_COST_MANAGEMENT'!$H$5:$H$34,'11_COST_MANAGEMENT'!$B$5:$B$34,$D$3,'11_COST_MANAGEMENT'!$C$5:$C$34,$P34)</f>
        <v/>
      </c>
    </row>
    <row r="35">
      <c r="P35" s="26" t="inlineStr">
        <is>
          <t>Training</t>
        </is>
      </c>
      <c r="Q35" s="47">
        <f>SUMIFS('11_COST_MANAGEMENT'!$E$5:$E$34,'11_COST_MANAGEMENT'!$B$5:$B$34,$D$3,'11_COST_MANAGEMENT'!$C$5:$C$34,$P35)</f>
        <v/>
      </c>
      <c r="R35" s="47">
        <f>SUMIFS('11_COST_MANAGEMENT'!$G$5:$G$34,'11_COST_MANAGEMENT'!$B$5:$B$34,$D$3,'11_COST_MANAGEMENT'!$C$5:$C$34,$P35)</f>
        <v/>
      </c>
      <c r="S35" s="47">
        <f>SUMIFS('11_COST_MANAGEMENT'!$H$5:$H$34,'11_COST_MANAGEMENT'!$B$5:$B$34,$D$3,'11_COST_MANAGEMENT'!$C$5:$C$34,$P35)</f>
        <v/>
      </c>
    </row>
    <row r="36">
      <c r="P36" s="26" t="inlineStr">
        <is>
          <t>Travel</t>
        </is>
      </c>
      <c r="Q36" s="47">
        <f>SUMIFS('11_COST_MANAGEMENT'!$E$5:$E$34,'11_COST_MANAGEMENT'!$B$5:$B$34,$D$3,'11_COST_MANAGEMENT'!$C$5:$C$34,$P36)</f>
        <v/>
      </c>
      <c r="R36" s="47">
        <f>SUMIFS('11_COST_MANAGEMENT'!$G$5:$G$34,'11_COST_MANAGEMENT'!$B$5:$B$34,$D$3,'11_COST_MANAGEMENT'!$C$5:$C$34,$P36)</f>
        <v/>
      </c>
      <c r="S36" s="47">
        <f>SUMIFS('11_COST_MANAGEMENT'!$H$5:$H$34,'11_COST_MANAGEMENT'!$B$5:$B$34,$D$3,'11_COST_MANAGEMENT'!$C$5:$C$34,$P36)</f>
        <v/>
      </c>
    </row>
    <row r="37">
      <c r="P37" s="26" t="inlineStr">
        <is>
          <t>Other</t>
        </is>
      </c>
      <c r="Q37" s="47">
        <f>SUMIFS('11_COST_MANAGEMENT'!$E$5:$E$34,'11_COST_MANAGEMENT'!$B$5:$B$34,$D$3,'11_COST_MANAGEMENT'!$C$5:$C$34,$P37)</f>
        <v/>
      </c>
      <c r="R37" s="47">
        <f>SUMIFS('11_COST_MANAGEMENT'!$G$5:$G$34,'11_COST_MANAGEMENT'!$B$5:$B$34,$D$3,'11_COST_MANAGEMENT'!$C$5:$C$34,$P37)</f>
        <v/>
      </c>
      <c r="S37" s="47">
        <f>SUMIFS('11_COST_MANAGEMENT'!$H$5:$H$34,'11_COST_MANAGEMENT'!$B$5:$B$34,$D$3,'11_COST_MANAGEMENT'!$C$5:$C$34,$P37)</f>
        <v/>
      </c>
    </row>
    <row r="39">
      <c r="P39" s="21" t="inlineStr">
        <is>
          <t>BLOCK 5 - MILESTONE STATUS</t>
        </is>
      </c>
      <c r="Q39" s="22" t="n"/>
      <c r="R39" s="22" t="n"/>
      <c r="S39" s="22" t="n"/>
      <c r="T39" s="22" t="n"/>
    </row>
    <row r="40" ht="26" customHeight="1">
      <c r="P40" s="23" t="inlineStr">
        <is>
          <t>Status</t>
        </is>
      </c>
      <c r="Q40" s="23" t="inlineStr">
        <is>
          <t>Milestones</t>
        </is>
      </c>
    </row>
    <row r="41">
      <c r="P41" s="26" t="inlineStr">
        <is>
          <t>Not Started</t>
        </is>
      </c>
      <c r="Q41" s="27">
        <f>COUNTIFS('05_MILESTONES'!$B$5:$B$34,$D$3,'05_MILESTONES'!$H$5:$H$34,P41)</f>
        <v/>
      </c>
    </row>
    <row r="42">
      <c r="P42" s="26" t="inlineStr">
        <is>
          <t>In Progress</t>
        </is>
      </c>
      <c r="Q42" s="27">
        <f>COUNTIFS('05_MILESTONES'!$B$5:$B$34,$D$3,'05_MILESTONES'!$H$5:$H$34,P42)</f>
        <v/>
      </c>
    </row>
    <row r="43">
      <c r="P43" s="26" t="inlineStr">
        <is>
          <t>Complete</t>
        </is>
      </c>
      <c r="Q43" s="27">
        <f>COUNTIFS('05_MILESTONES'!$B$5:$B$34,$D$3,'05_MILESTONES'!$H$5:$H$34,P43)</f>
        <v/>
      </c>
    </row>
    <row r="44">
      <c r="P44" s="26" t="inlineStr">
        <is>
          <t>Delayed</t>
        </is>
      </c>
      <c r="Q44" s="27">
        <f>COUNTIFS('05_MILESTONES'!$B$5:$B$34,$D$3,'05_MILESTONES'!$H$5:$H$34,P44)</f>
        <v/>
      </c>
    </row>
    <row r="45">
      <c r="P45" s="26" t="inlineStr">
        <is>
          <t>Cancelled</t>
        </is>
      </c>
      <c r="Q45" s="27">
        <f>COUNTIFS('05_MILESTONES'!$B$5:$B$34,$D$3,'05_MILESTONES'!$H$5:$H$34,P45)</f>
        <v/>
      </c>
    </row>
    <row r="47">
      <c r="P47" s="21" t="inlineStr">
        <is>
          <t>BLOCK 6 - ACTION STATUS</t>
        </is>
      </c>
      <c r="Q47" s="22" t="n"/>
      <c r="R47" s="22" t="n"/>
      <c r="S47" s="22" t="n"/>
      <c r="T47" s="22" t="n"/>
    </row>
    <row r="48" ht="26" customHeight="1">
      <c r="P48" s="23" t="inlineStr">
        <is>
          <t>Status</t>
        </is>
      </c>
      <c r="Q48" s="23" t="inlineStr">
        <is>
          <t>Actions</t>
        </is>
      </c>
    </row>
    <row r="49">
      <c r="P49" s="26" t="inlineStr">
        <is>
          <t>Open</t>
        </is>
      </c>
      <c r="Q49" s="27">
        <f>COUNTIFS('07_ACTION_TRACKER'!$B$5:$B$34,$D$3,'07_ACTION_TRACKER'!$I$5:$I$34,P49)</f>
        <v/>
      </c>
    </row>
    <row r="50">
      <c r="P50" s="26" t="inlineStr">
        <is>
          <t>In Progress</t>
        </is>
      </c>
      <c r="Q50" s="27">
        <f>COUNTIFS('07_ACTION_TRACKER'!$B$5:$B$34,$D$3,'07_ACTION_TRACKER'!$I$5:$I$34,P50)</f>
        <v/>
      </c>
    </row>
    <row r="51">
      <c r="P51" s="26" t="inlineStr">
        <is>
          <t>Complete</t>
        </is>
      </c>
      <c r="Q51" s="27">
        <f>COUNTIFS('07_ACTION_TRACKER'!$B$5:$B$34,$D$3,'07_ACTION_TRACKER'!$I$5:$I$34,P51)</f>
        <v/>
      </c>
    </row>
    <row r="52">
      <c r="P52" s="26" t="inlineStr">
        <is>
          <t>Cancelled</t>
        </is>
      </c>
      <c r="Q52" s="27">
        <f>COUNTIFS('07_ACTION_TRACKER'!$B$5:$B$34,$D$3,'07_ACTION_TRACKER'!$I$5:$I$34,P52)</f>
        <v/>
      </c>
    </row>
  </sheetData>
  <mergeCells count="105">
    <mergeCell ref="C6:D6"/>
    <mergeCell ref="A15:B15"/>
    <mergeCell ref="F16:G16"/>
    <mergeCell ref="A22:G22"/>
    <mergeCell ref="P1:T1"/>
    <mergeCell ref="P10:T10"/>
    <mergeCell ref="I3:N3"/>
    <mergeCell ref="H17:J17"/>
    <mergeCell ref="A19:G19"/>
    <mergeCell ref="A28:G28"/>
    <mergeCell ref="H23:N23"/>
    <mergeCell ref="A7:B7"/>
    <mergeCell ref="F15:G15"/>
    <mergeCell ref="M10:N10"/>
    <mergeCell ref="A30:G30"/>
    <mergeCell ref="M16:N16"/>
    <mergeCell ref="A17:B17"/>
    <mergeCell ref="P28:T28"/>
    <mergeCell ref="M17:N17"/>
    <mergeCell ref="A21:G21"/>
    <mergeCell ref="A26:G26"/>
    <mergeCell ref="A9:B9"/>
    <mergeCell ref="A23:G23"/>
    <mergeCell ref="H19:N19"/>
    <mergeCell ref="I6:J6"/>
    <mergeCell ref="H28:N28"/>
    <mergeCell ref="A11:B11"/>
    <mergeCell ref="K15:L15"/>
    <mergeCell ref="C5:D5"/>
    <mergeCell ref="E5:F5"/>
    <mergeCell ref="A3:C3"/>
    <mergeCell ref="A1:N1"/>
    <mergeCell ref="H16:J16"/>
    <mergeCell ref="G7:H7"/>
    <mergeCell ref="I7:J7"/>
    <mergeCell ref="H29:N29"/>
    <mergeCell ref="F17:G17"/>
    <mergeCell ref="M7:N7"/>
    <mergeCell ref="H31:N31"/>
    <mergeCell ref="H21:N21"/>
    <mergeCell ref="C15:E15"/>
    <mergeCell ref="D3:H3"/>
    <mergeCell ref="K17:L17"/>
    <mergeCell ref="P3:T3"/>
    <mergeCell ref="A4:N4"/>
    <mergeCell ref="I10:J10"/>
    <mergeCell ref="A10:B10"/>
    <mergeCell ref="K10:L10"/>
    <mergeCell ref="K6:L6"/>
    <mergeCell ref="G9:H9"/>
    <mergeCell ref="I9:J9"/>
    <mergeCell ref="C16:E16"/>
    <mergeCell ref="K16:L16"/>
    <mergeCell ref="H22:N22"/>
    <mergeCell ref="G11:H11"/>
    <mergeCell ref="I11:J11"/>
    <mergeCell ref="K9:L9"/>
    <mergeCell ref="K5:L5"/>
    <mergeCell ref="M9:N9"/>
    <mergeCell ref="M5:N5"/>
    <mergeCell ref="K11:L11"/>
    <mergeCell ref="M11:N11"/>
    <mergeCell ref="H30:N30"/>
    <mergeCell ref="P21:T21"/>
    <mergeCell ref="A24:G24"/>
    <mergeCell ref="H20:N20"/>
    <mergeCell ref="H15:J15"/>
    <mergeCell ref="E6:F6"/>
    <mergeCell ref="M15:N15"/>
    <mergeCell ref="A2:N2"/>
    <mergeCell ref="A5:B5"/>
    <mergeCell ref="A14:B14"/>
    <mergeCell ref="K7:L7"/>
    <mergeCell ref="C14:E14"/>
    <mergeCell ref="C7:D7"/>
    <mergeCell ref="E7:F7"/>
    <mergeCell ref="F14:G14"/>
    <mergeCell ref="A13:N13"/>
    <mergeCell ref="H27:N27"/>
    <mergeCell ref="A20:G20"/>
    <mergeCell ref="A29:G29"/>
    <mergeCell ref="H24:N24"/>
    <mergeCell ref="A6:B6"/>
    <mergeCell ref="A16:B16"/>
    <mergeCell ref="C10:D10"/>
    <mergeCell ref="E10:F10"/>
    <mergeCell ref="A31:G31"/>
    <mergeCell ref="G10:H10"/>
    <mergeCell ref="H26:N26"/>
    <mergeCell ref="C17:E17"/>
    <mergeCell ref="G6:H6"/>
    <mergeCell ref="C9:D9"/>
    <mergeCell ref="E9:F9"/>
    <mergeCell ref="P39:T39"/>
    <mergeCell ref="M6:N6"/>
    <mergeCell ref="H14:J14"/>
    <mergeCell ref="C11:D11"/>
    <mergeCell ref="E11:F11"/>
    <mergeCell ref="G5:H5"/>
    <mergeCell ref="I5:J5"/>
    <mergeCell ref="A33:N33"/>
    <mergeCell ref="K14:L14"/>
    <mergeCell ref="P47:T47"/>
    <mergeCell ref="A27:G27"/>
    <mergeCell ref="M14:N14"/>
  </mergeCells>
  <conditionalFormatting sqref="A6">
    <cfRule type="expression" priority="1" dxfId="3" stopIfTrue="1">
      <formula>EXACT($A6,"Active")</formula>
    </cfRule>
    <cfRule type="expression" priority="2" dxfId="8" stopIfTrue="1">
      <formula>EXACT($A6,"Completed")</formula>
    </cfRule>
    <cfRule type="expression" priority="3" dxfId="4" stopIfTrue="1">
      <formula>EXACT($A6,"On Hold")</formula>
    </cfRule>
    <cfRule type="expression" priority="4" dxfId="8" stopIfTrue="1">
      <formula>EXACT($A6,"Not Started")</formula>
    </cfRule>
    <cfRule type="expression" priority="5" dxfId="5" stopIfTrue="1">
      <formula>EXACT($A6,"Cancelled")</formula>
    </cfRule>
  </conditionalFormatting>
  <conditionalFormatting sqref="C6">
    <cfRule type="expression" priority="6" dxfId="3" stopIfTrue="1">
      <formula>EXACT($C6,"Green")</formula>
    </cfRule>
    <cfRule type="expression" priority="7" dxfId="4" stopIfTrue="1">
      <formula>EXACT($C6,"Yellow")</formula>
    </cfRule>
    <cfRule type="expression" priority="8" dxfId="5" stopIfTrue="1">
      <formula>EXACT($C6,"Red")</formula>
    </cfRule>
  </conditionalFormatting>
  <conditionalFormatting sqref="A10">
    <cfRule type="expression" priority="9" dxfId="3" stopIfTrue="1">
      <formula>EXACT($A10,"Healthy")</formula>
    </cfRule>
    <cfRule type="expression" priority="10" dxfId="4" stopIfTrue="1">
      <formula>EXACT($A10,"Needs Attention")</formula>
    </cfRule>
    <cfRule type="expression" priority="11" dxfId="5" stopIfTrue="1">
      <formula>EXACT($A10,"Critical")</formula>
    </cfRule>
    <cfRule type="expression" priority="12" dxfId="8" stopIfTrue="1">
      <formula>EXACT($A10,"Closed")</formula>
    </cfRule>
    <cfRule type="expression" priority="13" dxfId="8" stopIfTrue="1">
      <formula>EXACT($A10,"N/A")</formula>
    </cfRule>
  </conditionalFormatting>
  <conditionalFormatting sqref="G6">
    <cfRule type="expression" priority="14" dxfId="2" stopIfTrue="1">
      <formula>AND(ISNUMBER(G6),G6&gt;7)</formula>
    </cfRule>
    <cfRule type="expression" priority="15" dxfId="0" stopIfTrue="1">
      <formula>AND(ISNUMBER(G6),G6&gt;0)</formula>
    </cfRule>
    <cfRule type="expression" priority="16" dxfId="1" stopIfTrue="1">
      <formula>AND(ISNUMBER(G6),G6&lt;=0)</formula>
    </cfRule>
  </conditionalFormatting>
  <dataValidations count="1">
    <dataValidation sqref="D3:H3" showDropDown="0" showInputMessage="1" showErrorMessage="1" allowBlank="1" errorTitle="Value not allowed" error="Pick a value from the drop-down list (L_Projects)." promptTitle="Select" prompt="Choose the project you want to review" type="list" errorStyle="stop">
      <formula1>L_Projects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C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0" customWidth="1" min="3" max="3"/>
    <col width="17" customWidth="1" min="4" max="4"/>
    <col width="13" customWidth="1" min="5" max="5"/>
    <col width="20" customWidth="1" min="6" max="6"/>
    <col width="10" customWidth="1" min="7" max="7"/>
    <col width="12" customWidth="1" min="8" max="8"/>
    <col width="14" customWidth="1" min="9" max="9"/>
    <col width="14" customWidth="1" min="10" max="10"/>
    <col width="13" customWidth="1" min="11" max="11"/>
    <col width="11" customWidth="1" min="12" max="12"/>
    <col width="12" customWidth="1" min="13" max="13"/>
    <col width="9" customWidth="1" min="14" max="14"/>
    <col width="17" customWidth="1" min="15" max="15"/>
    <col width="13" customWidth="1" min="16" max="16"/>
    <col width="14" customWidth="1" min="17" max="17"/>
    <col width="13" customWidth="1" min="18" max="18"/>
    <col width="13" customWidth="1" min="19" max="19"/>
    <col width="30" customWidth="1" min="20" max="20"/>
    <col width="13" customWidth="1" min="21" max="21"/>
    <col width="16" customWidth="1" min="22" max="22"/>
    <col width="13" customWidth="1" min="23" max="23"/>
    <col width="34" customWidth="1" min="24" max="24"/>
    <col width="8" customWidth="1" min="25" max="25"/>
    <col width="8" customWidth="1" min="26" max="26"/>
    <col width="9" customWidth="1" min="27" max="27"/>
    <col width="26" customWidth="1" min="28" max="28"/>
    <col width="22" customWidth="1" min="29" max="29"/>
  </cols>
  <sheetData>
    <row r="1" ht="32" customHeight="1">
      <c r="A1" s="1" t="inlineStr">
        <is>
          <t>PROJECT PORTFOLIO REGISTER</t>
        </is>
      </c>
    </row>
    <row r="2" ht="17" customHeight="1">
      <c r="A2" s="2" t="inlineStr">
        <is>
          <t>Single source of truth for every project: customer, schedule, RAG, approved amount, actual and forecast cost. Dashboard KPIs and charts read from this table.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Project ID</t>
        </is>
      </c>
      <c r="B4" s="64" t="inlineStr">
        <is>
          <t>Customer</t>
        </is>
      </c>
      <c r="C4" s="64" t="inlineStr">
        <is>
          <t>Project Name</t>
        </is>
      </c>
      <c r="D4" s="64" t="inlineStr">
        <is>
          <t>Project Manager</t>
        </is>
      </c>
      <c r="E4" s="64" t="inlineStr">
        <is>
          <t>Department</t>
        </is>
      </c>
      <c r="F4" s="64" t="inlineStr">
        <is>
          <t>Project Type</t>
        </is>
      </c>
      <c r="G4" s="64" t="inlineStr">
        <is>
          <t>Priority</t>
        </is>
      </c>
      <c r="H4" s="64" t="inlineStr">
        <is>
          <t>Start Date</t>
        </is>
      </c>
      <c r="I4" s="64" t="inlineStr">
        <is>
          <t>Baseline End Date</t>
        </is>
      </c>
      <c r="J4" s="64" t="inlineStr">
        <is>
          <t>Forecast End Date</t>
        </is>
      </c>
      <c r="K4" s="64" t="inlineStr">
        <is>
          <t>Actual End Date</t>
        </is>
      </c>
      <c r="L4" s="64" t="inlineStr">
        <is>
          <t>% Complete</t>
        </is>
      </c>
      <c r="M4" s="64" t="inlineStr">
        <is>
          <t>Status</t>
        </is>
      </c>
      <c r="N4" s="64" t="inlineStr">
        <is>
          <t>RAG</t>
        </is>
      </c>
      <c r="O4" s="64" t="inlineStr">
        <is>
          <t>Total Approved Amount</t>
        </is>
      </c>
      <c r="P4" s="64" t="inlineStr">
        <is>
          <t>Actual Cost</t>
        </is>
      </c>
      <c r="Q4" s="64" t="inlineStr">
        <is>
          <t>Forecast Cost</t>
        </is>
      </c>
      <c r="R4" s="64" t="inlineStr">
        <is>
          <t>Schedule Variance</t>
        </is>
      </c>
      <c r="S4" s="64" t="inlineStr">
        <is>
          <t>Cost Variance</t>
        </is>
      </c>
      <c r="T4" s="64" t="inlineStr">
        <is>
          <t>Next Milestone</t>
        </is>
      </c>
      <c r="U4" s="64" t="inlineStr">
        <is>
          <t>Milestone Date</t>
        </is>
      </c>
      <c r="V4" s="64" t="inlineStr">
        <is>
          <t>Project Health</t>
        </is>
      </c>
      <c r="W4" s="64" t="inlineStr">
        <is>
          <t>Last Updated</t>
        </is>
      </c>
      <c r="X4" s="64" t="inlineStr">
        <is>
          <t>Notes</t>
        </is>
      </c>
      <c r="Y4" s="64" t="inlineStr">
        <is>
          <t>ChartIdx</t>
        </is>
      </c>
      <c r="Z4" s="64" t="inlineStr">
        <is>
          <t>RedRank</t>
        </is>
      </c>
      <c r="AA4" s="64" t="inlineStr">
        <is>
          <t>ViewRank</t>
        </is>
      </c>
      <c r="AB4" s="64" t="inlineStr">
        <is>
          <t>Timeline</t>
        </is>
      </c>
      <c r="AC4" s="64" t="inlineStr">
        <is>
          <t>Budget/Actual</t>
        </is>
      </c>
    </row>
    <row r="5" ht="28" customHeight="1">
      <c r="A5" s="65" t="inlineStr">
        <is>
          <t>PRJ-001</t>
        </is>
      </c>
      <c r="B5" s="65" t="inlineStr">
        <is>
          <t>HEINEKEN</t>
        </is>
      </c>
      <c r="C5" s="65" t="inlineStr">
        <is>
          <t>ERP Implementation</t>
        </is>
      </c>
      <c r="D5" s="65" t="inlineStr">
        <is>
          <t>Ahmed Khan</t>
        </is>
      </c>
      <c r="E5" s="65" t="inlineStr">
        <is>
          <t>IT</t>
        </is>
      </c>
      <c r="F5" s="65" t="inlineStr">
        <is>
          <t>System Implementation</t>
        </is>
      </c>
      <c r="G5" s="65" t="inlineStr">
        <is>
          <t>Critical</t>
        </is>
      </c>
      <c r="H5" s="66" t="n">
        <v>46204</v>
      </c>
      <c r="I5" s="66" t="n">
        <v>46374</v>
      </c>
      <c r="J5" s="66" t="n">
        <v>46402</v>
      </c>
      <c r="K5" s="66" t="n"/>
      <c r="L5" s="67" t="n">
        <v>0.62</v>
      </c>
      <c r="M5" s="65" t="inlineStr">
        <is>
          <t>Active</t>
        </is>
      </c>
      <c r="N5" s="65" t="inlineStr">
        <is>
          <t>Yellow</t>
        </is>
      </c>
      <c r="O5" s="68" t="n">
        <v>850000</v>
      </c>
      <c r="P5" s="68" t="n">
        <v>520000</v>
      </c>
      <c r="Q5" s="68" t="n">
        <v>910000</v>
      </c>
      <c r="R5" s="69">
        <f>IF(OR(I5="",J5=""),"",J5-I5)</f>
        <v/>
      </c>
      <c r="S5" s="68">
        <f>IF(OR(O5="",P5=""),"",O5-P5)</f>
        <v/>
      </c>
      <c r="T5" s="65">
        <f>IFERROR(INDEX('05_MILESTONES'!$C$5:$C$34,MATCH(AGGREGATE(15,6,'05_MILESTONES'!$M$5:$M$34/('05_MILESTONES'!$B$5:$B$34=$C5),1),'05_MILESTONES'!$M$5:$M$34,0)),"")</f>
        <v/>
      </c>
      <c r="U5" s="66">
        <f>IFERROR(INT(AGGREGATE(15,6,'05_MILESTONES'!$M$5:$M$34/('05_MILESTONES'!$B$5:$B$34=$C5),1)),"")</f>
        <v/>
      </c>
      <c r="V5" s="65">
        <f>IF(C5="","",IF(M5="Completed","Closed",IF(M5="Cancelled","N/A",IF(N5="Red","Critical",IF(OR(N5="Yellow",AND(Q5&lt;&gt;"",O5&lt;&gt;"",Q5&gt;O5),AND(R5&lt;&gt;"",R5&gt;7)),"Needs Attention","Healthy")))))</f>
        <v/>
      </c>
      <c r="W5" s="66" t="n">
        <v>46302</v>
      </c>
      <c r="X5" s="70" t="inlineStr">
        <is>
          <t>SAMPLE - ERP rollout, one month late on baseline.</t>
        </is>
      </c>
      <c r="Y5" s="69">
        <f>IF(C5="","",COUNTIF($C$5:$C5,"?*"))</f>
        <v/>
      </c>
      <c r="Z5" s="69">
        <f>IF(OR(C5="",N5&lt;&gt;"Red"),"",COUNTIF($N$5:$N$34,"Red")-COUNTIF($N$5:$N5,"Red")+1)</f>
        <v/>
      </c>
      <c r="AA5" s="69">
        <f>IF(C5="","",IF(AND(OR('01_EXECUTIVE_DASHBOARD'!$C$42="All",'01_EXECUTIVE_DASHBOARD'!$C$42=$M5),OR('01_EXECUTIVE_DASHBOARD'!$F$42="All",'01_EXECUTIVE_DASHBOARD'!$F$42=$N5),OR('01_EXECUTIVE_DASHBOARD'!$I$42="All",'01_EXECUTIVE_DASHBOARD'!$I$42=$D5)),SUMPRODUCT(($C$5:$C5&lt;&gt;"")*((('01_EXECUTIVE_DASHBOARD'!$C$42="All")+($M$5:$M5='01_EXECUTIVE_DASHBOARD'!$C$42))&gt;0)*((('01_EXECUTIVE_DASHBOARD'!$F$42="All")+($N$5:$N5='01_EXECUTIVE_DASHBOARD'!$F$42))&gt;0)*((('01_EXECUTIVE_DASHBOARD'!$I$42="All")+($D$5:$D5='01_EXECUTIVE_DASHBOARD'!$I$42))&gt;0)),""))</f>
        <v/>
      </c>
      <c r="AB5" s="65">
        <f>IF(C5="","",TEXT(H5,"dd-mmm-yy")&amp;" - "&amp;TEXT(IF(K5&lt;&gt;"",K5,J5),"dd-mmm-yy"))</f>
        <v/>
      </c>
      <c r="AC5" s="65">
        <f>IF(C5="","",TEXT(O5,"#,##0")&amp;" / "&amp;TEXT(P5,"#,##0"))</f>
        <v/>
      </c>
    </row>
    <row r="6" ht="28" customHeight="1">
      <c r="A6" s="65" t="inlineStr">
        <is>
          <t>PRJ-002</t>
        </is>
      </c>
      <c r="B6" s="65" t="inlineStr">
        <is>
          <t>Internal</t>
        </is>
      </c>
      <c r="C6" s="65" t="inlineStr">
        <is>
          <t>Network Infrastructure Upgrade</t>
        </is>
      </c>
      <c r="D6" s="65" t="inlineStr">
        <is>
          <t>Lisa Chen</t>
        </is>
      </c>
      <c r="E6" s="65" t="inlineStr">
        <is>
          <t>IT</t>
        </is>
      </c>
      <c r="F6" s="65" t="inlineStr">
        <is>
          <t>Infrastructure</t>
        </is>
      </c>
      <c r="G6" s="65" t="inlineStr">
        <is>
          <t>High</t>
        </is>
      </c>
      <c r="H6" s="66" t="n">
        <v>46249</v>
      </c>
      <c r="I6" s="66" t="n">
        <v>46356</v>
      </c>
      <c r="J6" s="66" t="n">
        <v>46351</v>
      </c>
      <c r="K6" s="66" t="n"/>
      <c r="L6" s="67" t="n">
        <v>0.45</v>
      </c>
      <c r="M6" s="65" t="inlineStr">
        <is>
          <t>Active</t>
        </is>
      </c>
      <c r="N6" s="65" t="inlineStr">
        <is>
          <t>Green</t>
        </is>
      </c>
      <c r="O6" s="68" t="n">
        <v>320000</v>
      </c>
      <c r="P6" s="68" t="n">
        <v>140000</v>
      </c>
      <c r="Q6" s="68" t="n">
        <v>305000</v>
      </c>
      <c r="R6" s="69">
        <f>IF(OR(I6="",J6=""),"",J6-I6)</f>
        <v/>
      </c>
      <c r="S6" s="68">
        <f>IF(OR(O6="",P6=""),"",O6-P6)</f>
        <v/>
      </c>
      <c r="T6" s="65">
        <f>IFERROR(INDEX('05_MILESTONES'!$C$5:$C$34,MATCH(AGGREGATE(15,6,'05_MILESTONES'!$M$5:$M$34/('05_MILESTONES'!$B$5:$B$34=$C6),1),'05_MILESTONES'!$M$5:$M$34,0)),"")</f>
        <v/>
      </c>
      <c r="U6" s="66">
        <f>IFERROR(INT(AGGREGATE(15,6,'05_MILESTONES'!$M$5:$M$34/('05_MILESTONES'!$B$5:$B$34=$C6),1)),"")</f>
        <v/>
      </c>
      <c r="V6" s="65">
        <f>IF(C6="","",IF(M6="Completed","Closed",IF(M6="Cancelled","N/A",IF(N6="Red","Critical",IF(OR(N6="Yellow",AND(Q6&lt;&gt;"",O6&lt;&gt;"",Q6&gt;O6),AND(R6&lt;&gt;"",R6&gt;7)),"Needs Attention","Healthy")))))</f>
        <v/>
      </c>
      <c r="W6" s="66" t="n">
        <v>46302</v>
      </c>
      <c r="X6" s="70" t="inlineStr">
        <is>
          <t>SAMPLE - ahead of plan, vendor on track.</t>
        </is>
      </c>
      <c r="Y6" s="69">
        <f>IF(C6="","",COUNTIF($C$5:$C6,"?*"))</f>
        <v/>
      </c>
      <c r="Z6" s="69">
        <f>IF(OR(C6="",N6&lt;&gt;"Red"),"",COUNTIF($N$5:$N$34,"Red")-COUNTIF($N$5:$N6,"Red")+1)</f>
        <v/>
      </c>
      <c r="AA6" s="69">
        <f>IF(C6="","",IF(AND(OR('01_EXECUTIVE_DASHBOARD'!$C$42="All",'01_EXECUTIVE_DASHBOARD'!$C$42=$M6),OR('01_EXECUTIVE_DASHBOARD'!$F$42="All",'01_EXECUTIVE_DASHBOARD'!$F$42=$N6),OR('01_EXECUTIVE_DASHBOARD'!$I$42="All",'01_EXECUTIVE_DASHBOARD'!$I$42=$D6)),SUMPRODUCT(($C$5:$C6&lt;&gt;"")*((('01_EXECUTIVE_DASHBOARD'!$C$42="All")+($M$5:$M6='01_EXECUTIVE_DASHBOARD'!$C$42))&gt;0)*((('01_EXECUTIVE_DASHBOARD'!$F$42="All")+($N$5:$N6='01_EXECUTIVE_DASHBOARD'!$F$42))&gt;0)*((('01_EXECUTIVE_DASHBOARD'!$I$42="All")+($D$5:$D6='01_EXECUTIVE_DASHBOARD'!$I$42))&gt;0)),""))</f>
        <v/>
      </c>
      <c r="AB6" s="65">
        <f>IF(C6="","",TEXT(H6,"dd-mmm-yy")&amp;" - "&amp;TEXT(IF(K6&lt;&gt;"",K6,J6),"dd-mmm-yy"))</f>
        <v/>
      </c>
      <c r="AC6" s="65">
        <f>IF(C6="","",TEXT(O6,"#,##0")&amp;" / "&amp;TEXT(P6,"#,##0"))</f>
        <v/>
      </c>
    </row>
    <row r="7" ht="28" customHeight="1">
      <c r="A7" s="65" t="inlineStr">
        <is>
          <t>PRJ-003</t>
        </is>
      </c>
      <c r="B7" s="65" t="inlineStr">
        <is>
          <t>H A K F TRADING PLC</t>
        </is>
      </c>
      <c r="C7" s="65" t="inlineStr">
        <is>
          <t>HR Management System</t>
        </is>
      </c>
      <c r="D7" s="65" t="inlineStr">
        <is>
          <t>David Okoro</t>
        </is>
      </c>
      <c r="E7" s="65" t="inlineStr">
        <is>
          <t>HR</t>
        </is>
      </c>
      <c r="F7" s="65" t="inlineStr">
        <is>
          <t>System Implementation</t>
        </is>
      </c>
      <c r="G7" s="65" t="inlineStr">
        <is>
          <t>High</t>
        </is>
      </c>
      <c r="H7" s="66" t="n">
        <v>46266</v>
      </c>
      <c r="I7" s="66" t="n">
        <v>46477</v>
      </c>
      <c r="J7" s="66" t="n">
        <v>46522</v>
      </c>
      <c r="K7" s="66" t="n"/>
      <c r="L7" s="67" t="n">
        <v>0.22</v>
      </c>
      <c r="M7" s="65" t="inlineStr">
        <is>
          <t>Active</t>
        </is>
      </c>
      <c r="N7" s="65" t="inlineStr">
        <is>
          <t>Red</t>
        </is>
      </c>
      <c r="O7" s="68" t="n">
        <v>480000</v>
      </c>
      <c r="P7" s="68" t="n">
        <v>150000</v>
      </c>
      <c r="Q7" s="68" t="n">
        <v>560000</v>
      </c>
      <c r="R7" s="69">
        <f>IF(OR(I7="",J7=""),"",J7-I7)</f>
        <v/>
      </c>
      <c r="S7" s="68">
        <f>IF(OR(O7="",P7=""),"",O7-P7)</f>
        <v/>
      </c>
      <c r="T7" s="65">
        <f>IFERROR(INDEX('05_MILESTONES'!$C$5:$C$34,MATCH(AGGREGATE(15,6,'05_MILESTONES'!$M$5:$M$34/('05_MILESTONES'!$B$5:$B$34=$C7),1),'05_MILESTONES'!$M$5:$M$34,0)),"")</f>
        <v/>
      </c>
      <c r="U7" s="66">
        <f>IFERROR(INT(AGGREGATE(15,6,'05_MILESTONES'!$M$5:$M$34/('05_MILESTONES'!$B$5:$B$34=$C7),1)),"")</f>
        <v/>
      </c>
      <c r="V7" s="65">
        <f>IF(C7="","",IF(M7="Completed","Closed",IF(M7="Cancelled","N/A",IF(N7="Red","Critical",IF(OR(N7="Yellow",AND(Q7&lt;&gt;"",O7&lt;&gt;"",Q7&gt;O7),AND(R7&lt;&gt;"",R7&gt;7)),"Needs Attention","Healthy")))))</f>
        <v/>
      </c>
      <c r="W7" s="66" t="n">
        <v>46301</v>
      </c>
      <c r="X7" s="70" t="inlineStr">
        <is>
          <t>SAMPLE - vendor delay and forecast overrun.</t>
        </is>
      </c>
      <c r="Y7" s="69">
        <f>IF(C7="","",COUNTIF($C$5:$C7,"?*"))</f>
        <v/>
      </c>
      <c r="Z7" s="69">
        <f>IF(OR(C7="",N7&lt;&gt;"Red"),"",COUNTIF($N$5:$N$34,"Red")-COUNTIF($N$5:$N7,"Red")+1)</f>
        <v/>
      </c>
      <c r="AA7" s="69">
        <f>IF(C7="","",IF(AND(OR('01_EXECUTIVE_DASHBOARD'!$C$42="All",'01_EXECUTIVE_DASHBOARD'!$C$42=$M7),OR('01_EXECUTIVE_DASHBOARD'!$F$42="All",'01_EXECUTIVE_DASHBOARD'!$F$42=$N7),OR('01_EXECUTIVE_DASHBOARD'!$I$42="All",'01_EXECUTIVE_DASHBOARD'!$I$42=$D7)),SUMPRODUCT(($C$5:$C7&lt;&gt;"")*((('01_EXECUTIVE_DASHBOARD'!$C$42="All")+($M$5:$M7='01_EXECUTIVE_DASHBOARD'!$C$42))&gt;0)*((('01_EXECUTIVE_DASHBOARD'!$F$42="All")+($N$5:$N7='01_EXECUTIVE_DASHBOARD'!$F$42))&gt;0)*((('01_EXECUTIVE_DASHBOARD'!$I$42="All")+($D$5:$D7='01_EXECUTIVE_DASHBOARD'!$I$42))&gt;0)),""))</f>
        <v/>
      </c>
      <c r="AB7" s="65">
        <f>IF(C7="","",TEXT(H7,"dd-mmm-yy")&amp;" - "&amp;TEXT(IF(K7&lt;&gt;"",K7,J7),"dd-mmm-yy"))</f>
        <v/>
      </c>
      <c r="AC7" s="65">
        <f>IF(C7="","",TEXT(O7,"#,##0")&amp;" / "&amp;TEXT(P7,"#,##0"))</f>
        <v/>
      </c>
    </row>
    <row r="8" ht="28" customHeight="1">
      <c r="A8" s="65" t="inlineStr">
        <is>
          <t>PRJ-004</t>
        </is>
      </c>
      <c r="B8" s="65" t="inlineStr">
        <is>
          <t>MEGERSA MERGA MEGENTA</t>
        </is>
      </c>
      <c r="C8" s="65" t="inlineStr">
        <is>
          <t>Website Development</t>
        </is>
      </c>
      <c r="D8" s="65" t="inlineStr">
        <is>
          <t>Maria Silva</t>
        </is>
      </c>
      <c r="E8" s="65" t="inlineStr">
        <is>
          <t>Marketing</t>
        </is>
      </c>
      <c r="F8" s="65" t="inlineStr">
        <is>
          <t>Development</t>
        </is>
      </c>
      <c r="G8" s="65" t="inlineStr">
        <is>
          <t>Medium</t>
        </is>
      </c>
      <c r="H8" s="66" t="n">
        <v>46280</v>
      </c>
      <c r="I8" s="66" t="n">
        <v>46341</v>
      </c>
      <c r="J8" s="66" t="n">
        <v>46361</v>
      </c>
      <c r="K8" s="66" t="n"/>
      <c r="L8" s="67" t="n">
        <v>0.4</v>
      </c>
      <c r="M8" s="65" t="inlineStr">
        <is>
          <t>On Hold</t>
        </is>
      </c>
      <c r="N8" s="65" t="inlineStr">
        <is>
          <t>Yellow</t>
        </is>
      </c>
      <c r="O8" s="68" t="n">
        <v>120000</v>
      </c>
      <c r="P8" s="68" t="n">
        <v>62000</v>
      </c>
      <c r="Q8" s="68" t="n">
        <v>138000</v>
      </c>
      <c r="R8" s="69">
        <f>IF(OR(I8="",J8=""),"",J8-I8)</f>
        <v/>
      </c>
      <c r="S8" s="68">
        <f>IF(OR(O8="",P8=""),"",O8-P8)</f>
        <v/>
      </c>
      <c r="T8" s="65">
        <f>IFERROR(INDEX('05_MILESTONES'!$C$5:$C$34,MATCH(AGGREGATE(15,6,'05_MILESTONES'!$M$5:$M$34/('05_MILESTONES'!$B$5:$B$34=$C8),1),'05_MILESTONES'!$M$5:$M$34,0)),"")</f>
        <v/>
      </c>
      <c r="U8" s="66">
        <f>IFERROR(INT(AGGREGATE(15,6,'05_MILESTONES'!$M$5:$M$34/('05_MILESTONES'!$B$5:$B$34=$C8),1)),"")</f>
        <v/>
      </c>
      <c r="V8" s="65">
        <f>IF(C8="","",IF(M8="Completed","Closed",IF(M8="Cancelled","N/A",IF(N8="Red","Critical",IF(OR(N8="Yellow",AND(Q8&lt;&gt;"",O8&lt;&gt;"",Q8&gt;O8),AND(R8&lt;&gt;"",R8&gt;7)),"Needs Attention","Healthy")))))</f>
        <v/>
      </c>
      <c r="W8" s="66" t="n">
        <v>46300</v>
      </c>
      <c r="X8" s="70" t="inlineStr">
        <is>
          <t>SAMPLE - paused pending content approval.</t>
        </is>
      </c>
      <c r="Y8" s="69">
        <f>IF(C8="","",COUNTIF($C$5:$C8,"?*"))</f>
        <v/>
      </c>
      <c r="Z8" s="69">
        <f>IF(OR(C8="",N8&lt;&gt;"Red"),"",COUNTIF($N$5:$N$34,"Red")-COUNTIF($N$5:$N8,"Red")+1)</f>
        <v/>
      </c>
      <c r="AA8" s="69">
        <f>IF(C8="","",IF(AND(OR('01_EXECUTIVE_DASHBOARD'!$C$42="All",'01_EXECUTIVE_DASHBOARD'!$C$42=$M8),OR('01_EXECUTIVE_DASHBOARD'!$F$42="All",'01_EXECUTIVE_DASHBOARD'!$F$42=$N8),OR('01_EXECUTIVE_DASHBOARD'!$I$42="All",'01_EXECUTIVE_DASHBOARD'!$I$42=$D8)),SUMPRODUCT(($C$5:$C8&lt;&gt;"")*((('01_EXECUTIVE_DASHBOARD'!$C$42="All")+($M$5:$M8='01_EXECUTIVE_DASHBOARD'!$C$42))&gt;0)*((('01_EXECUTIVE_DASHBOARD'!$F$42="All")+($N$5:$N8='01_EXECUTIVE_DASHBOARD'!$F$42))&gt;0)*((('01_EXECUTIVE_DASHBOARD'!$I$42="All")+($D$5:$D8='01_EXECUTIVE_DASHBOARD'!$I$42))&gt;0)),""))</f>
        <v/>
      </c>
      <c r="AB8" s="65">
        <f>IF(C8="","",TEXT(H8,"dd-mmm-yy")&amp;" - "&amp;TEXT(IF(K8&lt;&gt;"",K8,J8),"dd-mmm-yy"))</f>
        <v/>
      </c>
      <c r="AC8" s="65">
        <f>IF(C8="","",TEXT(O8,"#,##0")&amp;" / "&amp;TEXT(P8,"#,##0"))</f>
        <v/>
      </c>
    </row>
    <row r="9" ht="28" customHeight="1">
      <c r="A9" s="65" t="inlineStr">
        <is>
          <t>PRJ-005</t>
        </is>
      </c>
      <c r="B9" s="65" t="inlineStr">
        <is>
          <t>Internal</t>
        </is>
      </c>
      <c r="C9" s="65" t="inlineStr">
        <is>
          <t>Office Security Upgrade</t>
        </is>
      </c>
      <c r="D9" s="65" t="inlineStr">
        <is>
          <t>Tom Becker</t>
        </is>
      </c>
      <c r="E9" s="65" t="inlineStr">
        <is>
          <t>Operations</t>
        </is>
      </c>
      <c r="F9" s="65" t="inlineStr">
        <is>
          <t>Infrastructure</t>
        </is>
      </c>
      <c r="G9" s="65" t="inlineStr">
        <is>
          <t>Medium</t>
        </is>
      </c>
      <c r="H9" s="66" t="n">
        <v>46280</v>
      </c>
      <c r="I9" s="66" t="n">
        <v>46371</v>
      </c>
      <c r="J9" s="66" t="n">
        <v>46371</v>
      </c>
      <c r="K9" s="66" t="n"/>
      <c r="L9" s="67" t="n">
        <v>0.15</v>
      </c>
      <c r="M9" s="65" t="inlineStr">
        <is>
          <t>Active</t>
        </is>
      </c>
      <c r="N9" s="65" t="inlineStr">
        <is>
          <t>Green</t>
        </is>
      </c>
      <c r="O9" s="68" t="n">
        <v>60000</v>
      </c>
      <c r="P9" s="68" t="n">
        <v>9000</v>
      </c>
      <c r="Q9" s="68" t="n">
        <v>60000</v>
      </c>
      <c r="R9" s="69">
        <f>IF(OR(I9="",J9=""),"",J9-I9)</f>
        <v/>
      </c>
      <c r="S9" s="68">
        <f>IF(OR(O9="",P9=""),"",O9-P9)</f>
        <v/>
      </c>
      <c r="T9" s="65">
        <f>IFERROR(INDEX('05_MILESTONES'!$C$5:$C$34,MATCH(AGGREGATE(15,6,'05_MILESTONES'!$M$5:$M$34/('05_MILESTONES'!$B$5:$B$34=$C9),1),'05_MILESTONES'!$M$5:$M$34,0)),"")</f>
        <v/>
      </c>
      <c r="U9" s="66">
        <f>IFERROR(INT(AGGREGATE(15,6,'05_MILESTONES'!$M$5:$M$34/('05_MILESTONES'!$B$5:$B$34=$C9),1)),"")</f>
        <v/>
      </c>
      <c r="V9" s="65">
        <f>IF(C9="","",IF(M9="Completed","Closed",IF(M9="Cancelled","N/A",IF(N9="Red","Critical",IF(OR(N9="Yellow",AND(Q9&lt;&gt;"",O9&lt;&gt;"",Q9&gt;O9),AND(R9&lt;&gt;"",R9&gt;7)),"Needs Attention","Healthy")))))</f>
        <v/>
      </c>
      <c r="W9" s="66" t="n">
        <v>46301</v>
      </c>
      <c r="X9" s="70" t="inlineStr">
        <is>
          <t>SAMPLE - small works package.</t>
        </is>
      </c>
      <c r="Y9" s="69">
        <f>IF(C9="","",COUNTIF($C$5:$C9,"?*"))</f>
        <v/>
      </c>
      <c r="Z9" s="69">
        <f>IF(OR(C9="",N9&lt;&gt;"Red"),"",COUNTIF($N$5:$N$34,"Red")-COUNTIF($N$5:$N9,"Red")+1)</f>
        <v/>
      </c>
      <c r="AA9" s="69">
        <f>IF(C9="","",IF(AND(OR('01_EXECUTIVE_DASHBOARD'!$C$42="All",'01_EXECUTIVE_DASHBOARD'!$C$42=$M9),OR('01_EXECUTIVE_DASHBOARD'!$F$42="All",'01_EXECUTIVE_DASHBOARD'!$F$42=$N9),OR('01_EXECUTIVE_DASHBOARD'!$I$42="All",'01_EXECUTIVE_DASHBOARD'!$I$42=$D9)),SUMPRODUCT(($C$5:$C9&lt;&gt;"")*((('01_EXECUTIVE_DASHBOARD'!$C$42="All")+($M$5:$M9='01_EXECUTIVE_DASHBOARD'!$C$42))&gt;0)*((('01_EXECUTIVE_DASHBOARD'!$F$42="All")+($N$5:$N9='01_EXECUTIVE_DASHBOARD'!$F$42))&gt;0)*((('01_EXECUTIVE_DASHBOARD'!$I$42="All")+($D$5:$D9='01_EXECUTIVE_DASHBOARD'!$I$42))&gt;0)),""))</f>
        <v/>
      </c>
      <c r="AB9" s="65">
        <f>IF(C9="","",TEXT(H9,"dd-mmm-yy")&amp;" - "&amp;TEXT(IF(K9&lt;&gt;"",K9,J9),"dd-mmm-yy"))</f>
        <v/>
      </c>
      <c r="AC9" s="65">
        <f>IF(C9="","",TEXT(O9,"#,##0")&amp;" / "&amp;TEXT(P9,"#,##0"))</f>
        <v/>
      </c>
    </row>
    <row r="10" ht="28" customHeight="1">
      <c r="A10" s="65" t="inlineStr">
        <is>
          <t>PRJ-006</t>
        </is>
      </c>
      <c r="B10" s="65" t="inlineStr">
        <is>
          <t>SELAMU SEGARO</t>
        </is>
      </c>
      <c r="C10" s="65" t="inlineStr">
        <is>
          <t>Payroll Reporting Portal</t>
        </is>
      </c>
      <c r="D10" s="65" t="inlineStr">
        <is>
          <t>Priya Raman</t>
        </is>
      </c>
      <c r="E10" s="65" t="inlineStr">
        <is>
          <t>Finance</t>
        </is>
      </c>
      <c r="F10" s="65" t="inlineStr">
        <is>
          <t>Development</t>
        </is>
      </c>
      <c r="G10" s="65" t="inlineStr">
        <is>
          <t>Medium</t>
        </is>
      </c>
      <c r="H10" s="66" t="n">
        <v>46113</v>
      </c>
      <c r="I10" s="66" t="n">
        <v>46295</v>
      </c>
      <c r="J10" s="66" t="n">
        <v>46295</v>
      </c>
      <c r="K10" s="66" t="n">
        <v>46293</v>
      </c>
      <c r="L10" s="67" t="n">
        <v>1</v>
      </c>
      <c r="M10" s="65" t="inlineStr">
        <is>
          <t>Completed</t>
        </is>
      </c>
      <c r="N10" s="65" t="inlineStr">
        <is>
          <t>Green</t>
        </is>
      </c>
      <c r="O10" s="68" t="n">
        <v>95000</v>
      </c>
      <c r="P10" s="68" t="n">
        <v>92000</v>
      </c>
      <c r="Q10" s="68" t="n">
        <v>92000</v>
      </c>
      <c r="R10" s="69">
        <f>IF(OR(I10="",J10=""),"",J10-I10)</f>
        <v/>
      </c>
      <c r="S10" s="68">
        <f>IF(OR(O10="",P10=""),"",O10-P10)</f>
        <v/>
      </c>
      <c r="T10" s="65">
        <f>IFERROR(INDEX('05_MILESTONES'!$C$5:$C$34,MATCH(AGGREGATE(15,6,'05_MILESTONES'!$M$5:$M$34/('05_MILESTONES'!$B$5:$B$34=$C10),1),'05_MILESTONES'!$M$5:$M$34,0)),"")</f>
        <v/>
      </c>
      <c r="U10" s="66">
        <f>IFERROR(INT(AGGREGATE(15,6,'05_MILESTONES'!$M$5:$M$34/('05_MILESTONES'!$B$5:$B$34=$C10),1)),"")</f>
        <v/>
      </c>
      <c r="V10" s="65">
        <f>IF(C10="","",IF(M10="Completed","Closed",IF(M10="Cancelled","N/A",IF(N10="Red","Critical",IF(OR(N10="Yellow",AND(Q10&lt;&gt;"",O10&lt;&gt;"",Q10&gt;O10),AND(R10&lt;&gt;"",R10&gt;7)),"Needs Attention","Healthy")))))</f>
        <v/>
      </c>
      <c r="W10" s="66" t="n">
        <v>46296</v>
      </c>
      <c r="X10" s="70" t="inlineStr">
        <is>
          <t>SAMPLE - closed, ready for closure checklist.</t>
        </is>
      </c>
      <c r="Y10" s="69">
        <f>IF(C10="","",COUNTIF($C$5:$C10,"?*"))</f>
        <v/>
      </c>
      <c r="Z10" s="69">
        <f>IF(OR(C10="",N10&lt;&gt;"Red"),"",COUNTIF($N$5:$N$34,"Red")-COUNTIF($N$5:$N10,"Red")+1)</f>
        <v/>
      </c>
      <c r="AA10" s="69">
        <f>IF(C10="","",IF(AND(OR('01_EXECUTIVE_DASHBOARD'!$C$42="All",'01_EXECUTIVE_DASHBOARD'!$C$42=$M10),OR('01_EXECUTIVE_DASHBOARD'!$F$42="All",'01_EXECUTIVE_DASHBOARD'!$F$42=$N10),OR('01_EXECUTIVE_DASHBOARD'!$I$42="All",'01_EXECUTIVE_DASHBOARD'!$I$42=$D10)),SUMPRODUCT(($C$5:$C10&lt;&gt;"")*((('01_EXECUTIVE_DASHBOARD'!$C$42="All")+($M$5:$M10='01_EXECUTIVE_DASHBOARD'!$C$42))&gt;0)*((('01_EXECUTIVE_DASHBOARD'!$F$42="All")+($N$5:$N10='01_EXECUTIVE_DASHBOARD'!$F$42))&gt;0)*((('01_EXECUTIVE_DASHBOARD'!$I$42="All")+($D$5:$D10='01_EXECUTIVE_DASHBOARD'!$I$42))&gt;0)),""))</f>
        <v/>
      </c>
      <c r="AB10" s="65">
        <f>IF(C10="","",TEXT(H10,"dd-mmm-yy")&amp;" - "&amp;TEXT(IF(K10&lt;&gt;"",K10,J10),"dd-mmm-yy"))</f>
        <v/>
      </c>
      <c r="AC10" s="65">
        <f>IF(C10="","",TEXT(O10,"#,##0")&amp;" / "&amp;TEXT(P10,"#,##0"))</f>
        <v/>
      </c>
    </row>
    <row r="11" ht="28" customHeight="1">
      <c r="A11" s="65" t="inlineStr">
        <is>
          <t>PRJ-007</t>
        </is>
      </c>
      <c r="B11" s="65" t="inlineStr">
        <is>
          <t>Internal</t>
        </is>
      </c>
      <c r="C11" s="65" t="inlineStr">
        <is>
          <t>Legacy Fax System Decommission</t>
        </is>
      </c>
      <c r="D11" s="65" t="inlineStr">
        <is>
          <t>Tom Becker</t>
        </is>
      </c>
      <c r="E11" s="65" t="inlineStr">
        <is>
          <t>IT</t>
        </is>
      </c>
      <c r="F11" s="65" t="inlineStr">
        <is>
          <t>Maintenance</t>
        </is>
      </c>
      <c r="G11" s="65" t="inlineStr">
        <is>
          <t>Low</t>
        </is>
      </c>
      <c r="H11" s="66" t="n">
        <v>46174</v>
      </c>
      <c r="I11" s="66" t="n">
        <v>46265</v>
      </c>
      <c r="J11" s="66" t="n">
        <v>46265</v>
      </c>
      <c r="K11" s="66" t="n"/>
      <c r="L11" s="67" t="n">
        <v>0.1</v>
      </c>
      <c r="M11" s="65" t="inlineStr">
        <is>
          <t>Cancelled</t>
        </is>
      </c>
      <c r="N11" s="65" t="inlineStr">
        <is>
          <t>Red</t>
        </is>
      </c>
      <c r="O11" s="68" t="n">
        <v>25000</v>
      </c>
      <c r="P11" s="68" t="n">
        <v>4000</v>
      </c>
      <c r="Q11" s="68" t="n">
        <v>4000</v>
      </c>
      <c r="R11" s="69">
        <f>IF(OR(I11="",J11=""),"",J11-I11)</f>
        <v/>
      </c>
      <c r="S11" s="68">
        <f>IF(OR(O11="",P11=""),"",O11-P11)</f>
        <v/>
      </c>
      <c r="T11" s="65">
        <f>IFERROR(INDEX('05_MILESTONES'!$C$5:$C$34,MATCH(AGGREGATE(15,6,'05_MILESTONES'!$M$5:$M$34/('05_MILESTONES'!$B$5:$B$34=$C11),1),'05_MILESTONES'!$M$5:$M$34,0)),"")</f>
        <v/>
      </c>
      <c r="U11" s="66">
        <f>IFERROR(INT(AGGREGATE(15,6,'05_MILESTONES'!$M$5:$M$34/('05_MILESTONES'!$B$5:$B$34=$C11),1)),"")</f>
        <v/>
      </c>
      <c r="V11" s="65">
        <f>IF(C11="","",IF(M11="Completed","Closed",IF(M11="Cancelled","N/A",IF(N11="Red","Critical",IF(OR(N11="Yellow",AND(Q11&lt;&gt;"",O11&lt;&gt;"",Q11&gt;O11),AND(R11&lt;&gt;"",R11&gt;7)),"Needs Attention","Healthy")))))</f>
        <v/>
      </c>
      <c r="W11" s="66" t="n">
        <v>46254</v>
      </c>
      <c r="X11" s="70" t="inlineStr">
        <is>
          <t>SAMPLE - cancelled, superseded by network upgrade.</t>
        </is>
      </c>
      <c r="Y11" s="69">
        <f>IF(C11="","",COUNTIF($C$5:$C11,"?*"))</f>
        <v/>
      </c>
      <c r="Z11" s="69">
        <f>IF(OR(C11="",N11&lt;&gt;"Red"),"",COUNTIF($N$5:$N$34,"Red")-COUNTIF($N$5:$N11,"Red")+1)</f>
        <v/>
      </c>
      <c r="AA11" s="69">
        <f>IF(C11="","",IF(AND(OR('01_EXECUTIVE_DASHBOARD'!$C$42="All",'01_EXECUTIVE_DASHBOARD'!$C$42=$M11),OR('01_EXECUTIVE_DASHBOARD'!$F$42="All",'01_EXECUTIVE_DASHBOARD'!$F$42=$N11),OR('01_EXECUTIVE_DASHBOARD'!$I$42="All",'01_EXECUTIVE_DASHBOARD'!$I$42=$D11)),SUMPRODUCT(($C$5:$C11&lt;&gt;"")*((('01_EXECUTIVE_DASHBOARD'!$C$42="All")+($M$5:$M11='01_EXECUTIVE_DASHBOARD'!$C$42))&gt;0)*((('01_EXECUTIVE_DASHBOARD'!$F$42="All")+($N$5:$N11='01_EXECUTIVE_DASHBOARD'!$F$42))&gt;0)*((('01_EXECUTIVE_DASHBOARD'!$I$42="All")+($D$5:$D11='01_EXECUTIVE_DASHBOARD'!$I$42))&gt;0)),""))</f>
        <v/>
      </c>
      <c r="AB11" s="65">
        <f>IF(C11="","",TEXT(H11,"dd-mmm-yy")&amp;" - "&amp;TEXT(IF(K11&lt;&gt;"",K11,J11),"dd-mmm-yy"))</f>
        <v/>
      </c>
      <c r="AC11" s="65">
        <f>IF(C11="","",TEXT(O11,"#,##0")&amp;" / "&amp;TEXT(P11,"#,##0"))</f>
        <v/>
      </c>
    </row>
    <row r="12" ht="28" customHeight="1">
      <c r="A12" s="65" t="n"/>
      <c r="B12" s="65" t="n"/>
      <c r="C12" s="65" t="n"/>
      <c r="D12" s="65" t="n"/>
      <c r="E12" s="65" t="n"/>
      <c r="F12" s="65" t="n"/>
      <c r="G12" s="65" t="n"/>
      <c r="H12" s="66" t="n"/>
      <c r="I12" s="66" t="n"/>
      <c r="J12" s="66" t="n"/>
      <c r="K12" s="66" t="n"/>
      <c r="L12" s="67" t="n"/>
      <c r="M12" s="65" t="n"/>
      <c r="N12" s="65" t="n"/>
      <c r="O12" s="68" t="n"/>
      <c r="P12" s="68" t="n"/>
      <c r="Q12" s="68" t="n"/>
      <c r="R12" s="69">
        <f>IF(OR(I12="",J12=""),"",J12-I12)</f>
        <v/>
      </c>
      <c r="S12" s="68">
        <f>IF(OR(O12="",P12=""),"",O12-P12)</f>
        <v/>
      </c>
      <c r="T12" s="65">
        <f>IFERROR(INDEX('05_MILESTONES'!$C$5:$C$34,MATCH(AGGREGATE(15,6,'05_MILESTONES'!$M$5:$M$34/('05_MILESTONES'!$B$5:$B$34=$C12),1),'05_MILESTONES'!$M$5:$M$34,0)),"")</f>
        <v/>
      </c>
      <c r="U12" s="66">
        <f>IFERROR(INT(AGGREGATE(15,6,'05_MILESTONES'!$M$5:$M$34/('05_MILESTONES'!$B$5:$B$34=$C12),1)),"")</f>
        <v/>
      </c>
      <c r="V12" s="65">
        <f>IF(C12="","",IF(M12="Completed","Closed",IF(M12="Cancelled","N/A",IF(N12="Red","Critical",IF(OR(N12="Yellow",AND(Q12&lt;&gt;"",O12&lt;&gt;"",Q12&gt;O12),AND(R12&lt;&gt;"",R12&gt;7)),"Needs Attention","Healthy")))))</f>
        <v/>
      </c>
      <c r="W12" s="66" t="n"/>
      <c r="X12" s="70" t="n"/>
      <c r="Y12" s="69">
        <f>IF(C12="","",COUNTIF($C$5:$C12,"?*"))</f>
        <v/>
      </c>
      <c r="Z12" s="69">
        <f>IF(OR(C12="",N12&lt;&gt;"Red"),"",COUNTIF($N$5:$N$34,"Red")-COUNTIF($N$5:$N12,"Red")+1)</f>
        <v/>
      </c>
      <c r="AA12" s="69">
        <f>IF(C12="","",IF(AND(OR('01_EXECUTIVE_DASHBOARD'!$C$42="All",'01_EXECUTIVE_DASHBOARD'!$C$42=$M12),OR('01_EXECUTIVE_DASHBOARD'!$F$42="All",'01_EXECUTIVE_DASHBOARD'!$F$42=$N12),OR('01_EXECUTIVE_DASHBOARD'!$I$42="All",'01_EXECUTIVE_DASHBOARD'!$I$42=$D12)),SUMPRODUCT(($C$5:$C12&lt;&gt;"")*((('01_EXECUTIVE_DASHBOARD'!$C$42="All")+($M$5:$M12='01_EXECUTIVE_DASHBOARD'!$C$42))&gt;0)*((('01_EXECUTIVE_DASHBOARD'!$F$42="All")+($N$5:$N12='01_EXECUTIVE_DASHBOARD'!$F$42))&gt;0)*((('01_EXECUTIVE_DASHBOARD'!$I$42="All")+($D$5:$D12='01_EXECUTIVE_DASHBOARD'!$I$42))&gt;0)),""))</f>
        <v/>
      </c>
      <c r="AB12" s="65">
        <f>IF(C12="","",TEXT(H12,"dd-mmm-yy")&amp;" - "&amp;TEXT(IF(K12&lt;&gt;"",K12,J12),"dd-mmm-yy"))</f>
        <v/>
      </c>
      <c r="AC12" s="65">
        <f>IF(C12="","",TEXT(O12,"#,##0")&amp;" / "&amp;TEXT(P12,"#,##0"))</f>
        <v/>
      </c>
    </row>
    <row r="13" ht="28" customHeight="1">
      <c r="A13" s="65" t="n"/>
      <c r="B13" s="65" t="n"/>
      <c r="C13" s="65" t="n"/>
      <c r="D13" s="65" t="n"/>
      <c r="E13" s="65" t="n"/>
      <c r="F13" s="65" t="n"/>
      <c r="G13" s="65" t="n"/>
      <c r="H13" s="66" t="n"/>
      <c r="I13" s="66" t="n"/>
      <c r="J13" s="66" t="n"/>
      <c r="K13" s="66" t="n"/>
      <c r="L13" s="67" t="n"/>
      <c r="M13" s="65" t="n"/>
      <c r="N13" s="65" t="n"/>
      <c r="O13" s="68" t="n"/>
      <c r="P13" s="68" t="n"/>
      <c r="Q13" s="68" t="n"/>
      <c r="R13" s="69">
        <f>IF(OR(I13="",J13=""),"",J13-I13)</f>
        <v/>
      </c>
      <c r="S13" s="68">
        <f>IF(OR(O13="",P13=""),"",O13-P13)</f>
        <v/>
      </c>
      <c r="T13" s="65">
        <f>IFERROR(INDEX('05_MILESTONES'!$C$5:$C$34,MATCH(AGGREGATE(15,6,'05_MILESTONES'!$M$5:$M$34/('05_MILESTONES'!$B$5:$B$34=$C13),1),'05_MILESTONES'!$M$5:$M$34,0)),"")</f>
        <v/>
      </c>
      <c r="U13" s="66">
        <f>IFERROR(INT(AGGREGATE(15,6,'05_MILESTONES'!$M$5:$M$34/('05_MILESTONES'!$B$5:$B$34=$C13),1)),"")</f>
        <v/>
      </c>
      <c r="V13" s="65">
        <f>IF(C13="","",IF(M13="Completed","Closed",IF(M13="Cancelled","N/A",IF(N13="Red","Critical",IF(OR(N13="Yellow",AND(Q13&lt;&gt;"",O13&lt;&gt;"",Q13&gt;O13),AND(R13&lt;&gt;"",R13&gt;7)),"Needs Attention","Healthy")))))</f>
        <v/>
      </c>
      <c r="W13" s="66" t="n"/>
      <c r="X13" s="70" t="n"/>
      <c r="Y13" s="69">
        <f>IF(C13="","",COUNTIF($C$5:$C13,"?*"))</f>
        <v/>
      </c>
      <c r="Z13" s="69">
        <f>IF(OR(C13="",N13&lt;&gt;"Red"),"",COUNTIF($N$5:$N$34,"Red")-COUNTIF($N$5:$N13,"Red")+1)</f>
        <v/>
      </c>
      <c r="AA13" s="69">
        <f>IF(C13="","",IF(AND(OR('01_EXECUTIVE_DASHBOARD'!$C$42="All",'01_EXECUTIVE_DASHBOARD'!$C$42=$M13),OR('01_EXECUTIVE_DASHBOARD'!$F$42="All",'01_EXECUTIVE_DASHBOARD'!$F$42=$N13),OR('01_EXECUTIVE_DASHBOARD'!$I$42="All",'01_EXECUTIVE_DASHBOARD'!$I$42=$D13)),SUMPRODUCT(($C$5:$C13&lt;&gt;"")*((('01_EXECUTIVE_DASHBOARD'!$C$42="All")+($M$5:$M13='01_EXECUTIVE_DASHBOARD'!$C$42))&gt;0)*((('01_EXECUTIVE_DASHBOARD'!$F$42="All")+($N$5:$N13='01_EXECUTIVE_DASHBOARD'!$F$42))&gt;0)*((('01_EXECUTIVE_DASHBOARD'!$I$42="All")+($D$5:$D13='01_EXECUTIVE_DASHBOARD'!$I$42))&gt;0)),""))</f>
        <v/>
      </c>
      <c r="AB13" s="65">
        <f>IF(C13="","",TEXT(H13,"dd-mmm-yy")&amp;" - "&amp;TEXT(IF(K13&lt;&gt;"",K13,J13),"dd-mmm-yy"))</f>
        <v/>
      </c>
      <c r="AC13" s="65">
        <f>IF(C13="","",TEXT(O13,"#,##0")&amp;" / "&amp;TEXT(P13,"#,##0"))</f>
        <v/>
      </c>
    </row>
    <row r="14" ht="28" customHeight="1">
      <c r="A14" s="65" t="n"/>
      <c r="B14" s="65" t="n"/>
      <c r="C14" s="65" t="n"/>
      <c r="D14" s="65" t="n"/>
      <c r="E14" s="65" t="n"/>
      <c r="F14" s="65" t="n"/>
      <c r="G14" s="65" t="n"/>
      <c r="H14" s="66" t="n"/>
      <c r="I14" s="66" t="n"/>
      <c r="J14" s="66" t="n"/>
      <c r="K14" s="66" t="n"/>
      <c r="L14" s="67" t="n"/>
      <c r="M14" s="65" t="n"/>
      <c r="N14" s="65" t="n"/>
      <c r="O14" s="68" t="n"/>
      <c r="P14" s="68" t="n"/>
      <c r="Q14" s="68" t="n"/>
      <c r="R14" s="69">
        <f>IF(OR(I14="",J14=""),"",J14-I14)</f>
        <v/>
      </c>
      <c r="S14" s="68">
        <f>IF(OR(O14="",P14=""),"",O14-P14)</f>
        <v/>
      </c>
      <c r="T14" s="65">
        <f>IFERROR(INDEX('05_MILESTONES'!$C$5:$C$34,MATCH(AGGREGATE(15,6,'05_MILESTONES'!$M$5:$M$34/('05_MILESTONES'!$B$5:$B$34=$C14),1),'05_MILESTONES'!$M$5:$M$34,0)),"")</f>
        <v/>
      </c>
      <c r="U14" s="66">
        <f>IFERROR(INT(AGGREGATE(15,6,'05_MILESTONES'!$M$5:$M$34/('05_MILESTONES'!$B$5:$B$34=$C14),1)),"")</f>
        <v/>
      </c>
      <c r="V14" s="65">
        <f>IF(C14="","",IF(M14="Completed","Closed",IF(M14="Cancelled","N/A",IF(N14="Red","Critical",IF(OR(N14="Yellow",AND(Q14&lt;&gt;"",O14&lt;&gt;"",Q14&gt;O14),AND(R14&lt;&gt;"",R14&gt;7)),"Needs Attention","Healthy")))))</f>
        <v/>
      </c>
      <c r="W14" s="66" t="n"/>
      <c r="X14" s="70" t="n"/>
      <c r="Y14" s="69">
        <f>IF(C14="","",COUNTIF($C$5:$C14,"?*"))</f>
        <v/>
      </c>
      <c r="Z14" s="69">
        <f>IF(OR(C14="",N14&lt;&gt;"Red"),"",COUNTIF($N$5:$N$34,"Red")-COUNTIF($N$5:$N14,"Red")+1)</f>
        <v/>
      </c>
      <c r="AA14" s="69">
        <f>IF(C14="","",IF(AND(OR('01_EXECUTIVE_DASHBOARD'!$C$42="All",'01_EXECUTIVE_DASHBOARD'!$C$42=$M14),OR('01_EXECUTIVE_DASHBOARD'!$F$42="All",'01_EXECUTIVE_DASHBOARD'!$F$42=$N14),OR('01_EXECUTIVE_DASHBOARD'!$I$42="All",'01_EXECUTIVE_DASHBOARD'!$I$42=$D14)),SUMPRODUCT(($C$5:$C14&lt;&gt;"")*((('01_EXECUTIVE_DASHBOARD'!$C$42="All")+($M$5:$M14='01_EXECUTIVE_DASHBOARD'!$C$42))&gt;0)*((('01_EXECUTIVE_DASHBOARD'!$F$42="All")+($N$5:$N14='01_EXECUTIVE_DASHBOARD'!$F$42))&gt;0)*((('01_EXECUTIVE_DASHBOARD'!$I$42="All")+($D$5:$D14='01_EXECUTIVE_DASHBOARD'!$I$42))&gt;0)),""))</f>
        <v/>
      </c>
      <c r="AB14" s="65">
        <f>IF(C14="","",TEXT(H14,"dd-mmm-yy")&amp;" - "&amp;TEXT(IF(K14&lt;&gt;"",K14,J14),"dd-mmm-yy"))</f>
        <v/>
      </c>
      <c r="AC14" s="65">
        <f>IF(C14="","",TEXT(O14,"#,##0")&amp;" / "&amp;TEXT(P14,"#,##0"))</f>
        <v/>
      </c>
    </row>
    <row r="15" ht="28" customHeight="1">
      <c r="A15" s="65" t="n"/>
      <c r="B15" s="65" t="n"/>
      <c r="C15" s="65" t="n"/>
      <c r="D15" s="65" t="n"/>
      <c r="E15" s="65" t="n"/>
      <c r="F15" s="65" t="n"/>
      <c r="G15" s="65" t="n"/>
      <c r="H15" s="66" t="n"/>
      <c r="I15" s="66" t="n"/>
      <c r="J15" s="66" t="n"/>
      <c r="K15" s="66" t="n"/>
      <c r="L15" s="67" t="n"/>
      <c r="M15" s="65" t="n"/>
      <c r="N15" s="65" t="n"/>
      <c r="O15" s="68" t="n"/>
      <c r="P15" s="68" t="n"/>
      <c r="Q15" s="68" t="n"/>
      <c r="R15" s="69">
        <f>IF(OR(I15="",J15=""),"",J15-I15)</f>
        <v/>
      </c>
      <c r="S15" s="68">
        <f>IF(OR(O15="",P15=""),"",O15-P15)</f>
        <v/>
      </c>
      <c r="T15" s="65">
        <f>IFERROR(INDEX('05_MILESTONES'!$C$5:$C$34,MATCH(AGGREGATE(15,6,'05_MILESTONES'!$M$5:$M$34/('05_MILESTONES'!$B$5:$B$34=$C15),1),'05_MILESTONES'!$M$5:$M$34,0)),"")</f>
        <v/>
      </c>
      <c r="U15" s="66">
        <f>IFERROR(INT(AGGREGATE(15,6,'05_MILESTONES'!$M$5:$M$34/('05_MILESTONES'!$B$5:$B$34=$C15),1)),"")</f>
        <v/>
      </c>
      <c r="V15" s="65">
        <f>IF(C15="","",IF(M15="Completed","Closed",IF(M15="Cancelled","N/A",IF(N15="Red","Critical",IF(OR(N15="Yellow",AND(Q15&lt;&gt;"",O15&lt;&gt;"",Q15&gt;O15),AND(R15&lt;&gt;"",R15&gt;7)),"Needs Attention","Healthy")))))</f>
        <v/>
      </c>
      <c r="W15" s="66" t="n"/>
      <c r="X15" s="70" t="n"/>
      <c r="Y15" s="69">
        <f>IF(C15="","",COUNTIF($C$5:$C15,"?*"))</f>
        <v/>
      </c>
      <c r="Z15" s="69">
        <f>IF(OR(C15="",N15&lt;&gt;"Red"),"",COUNTIF($N$5:$N$34,"Red")-COUNTIF($N$5:$N15,"Red")+1)</f>
        <v/>
      </c>
      <c r="AA15" s="69">
        <f>IF(C15="","",IF(AND(OR('01_EXECUTIVE_DASHBOARD'!$C$42="All",'01_EXECUTIVE_DASHBOARD'!$C$42=$M15),OR('01_EXECUTIVE_DASHBOARD'!$F$42="All",'01_EXECUTIVE_DASHBOARD'!$F$42=$N15),OR('01_EXECUTIVE_DASHBOARD'!$I$42="All",'01_EXECUTIVE_DASHBOARD'!$I$42=$D15)),SUMPRODUCT(($C$5:$C15&lt;&gt;"")*((('01_EXECUTIVE_DASHBOARD'!$C$42="All")+($M$5:$M15='01_EXECUTIVE_DASHBOARD'!$C$42))&gt;0)*((('01_EXECUTIVE_DASHBOARD'!$F$42="All")+($N$5:$N15='01_EXECUTIVE_DASHBOARD'!$F$42))&gt;0)*((('01_EXECUTIVE_DASHBOARD'!$I$42="All")+($D$5:$D15='01_EXECUTIVE_DASHBOARD'!$I$42))&gt;0)),""))</f>
        <v/>
      </c>
      <c r="AB15" s="65">
        <f>IF(C15="","",TEXT(H15,"dd-mmm-yy")&amp;" - "&amp;TEXT(IF(K15&lt;&gt;"",K15,J15),"dd-mmm-yy"))</f>
        <v/>
      </c>
      <c r="AC15" s="65">
        <f>IF(C15="","",TEXT(O15,"#,##0")&amp;" / "&amp;TEXT(P15,"#,##0"))</f>
        <v/>
      </c>
    </row>
    <row r="16" ht="28" customHeight="1">
      <c r="A16" s="65" t="n"/>
      <c r="B16" s="65" t="n"/>
      <c r="C16" s="65" t="n"/>
      <c r="D16" s="65" t="n"/>
      <c r="E16" s="65" t="n"/>
      <c r="F16" s="65" t="n"/>
      <c r="G16" s="65" t="n"/>
      <c r="H16" s="66" t="n"/>
      <c r="I16" s="66" t="n"/>
      <c r="J16" s="66" t="n"/>
      <c r="K16" s="66" t="n"/>
      <c r="L16" s="67" t="n"/>
      <c r="M16" s="65" t="n"/>
      <c r="N16" s="65" t="n"/>
      <c r="O16" s="68" t="n"/>
      <c r="P16" s="68" t="n"/>
      <c r="Q16" s="68" t="n"/>
      <c r="R16" s="69">
        <f>IF(OR(I16="",J16=""),"",J16-I16)</f>
        <v/>
      </c>
      <c r="S16" s="68">
        <f>IF(OR(O16="",P16=""),"",O16-P16)</f>
        <v/>
      </c>
      <c r="T16" s="65">
        <f>IFERROR(INDEX('05_MILESTONES'!$C$5:$C$34,MATCH(AGGREGATE(15,6,'05_MILESTONES'!$M$5:$M$34/('05_MILESTONES'!$B$5:$B$34=$C16),1),'05_MILESTONES'!$M$5:$M$34,0)),"")</f>
        <v/>
      </c>
      <c r="U16" s="66">
        <f>IFERROR(INT(AGGREGATE(15,6,'05_MILESTONES'!$M$5:$M$34/('05_MILESTONES'!$B$5:$B$34=$C16),1)),"")</f>
        <v/>
      </c>
      <c r="V16" s="65">
        <f>IF(C16="","",IF(M16="Completed","Closed",IF(M16="Cancelled","N/A",IF(N16="Red","Critical",IF(OR(N16="Yellow",AND(Q16&lt;&gt;"",O16&lt;&gt;"",Q16&gt;O16),AND(R16&lt;&gt;"",R16&gt;7)),"Needs Attention","Healthy")))))</f>
        <v/>
      </c>
      <c r="W16" s="66" t="n"/>
      <c r="X16" s="70" t="n"/>
      <c r="Y16" s="69">
        <f>IF(C16="","",COUNTIF($C$5:$C16,"?*"))</f>
        <v/>
      </c>
      <c r="Z16" s="69">
        <f>IF(OR(C16="",N16&lt;&gt;"Red"),"",COUNTIF($N$5:$N$34,"Red")-COUNTIF($N$5:$N16,"Red")+1)</f>
        <v/>
      </c>
      <c r="AA16" s="69">
        <f>IF(C16="","",IF(AND(OR('01_EXECUTIVE_DASHBOARD'!$C$42="All",'01_EXECUTIVE_DASHBOARD'!$C$42=$M16),OR('01_EXECUTIVE_DASHBOARD'!$F$42="All",'01_EXECUTIVE_DASHBOARD'!$F$42=$N16),OR('01_EXECUTIVE_DASHBOARD'!$I$42="All",'01_EXECUTIVE_DASHBOARD'!$I$42=$D16)),SUMPRODUCT(($C$5:$C16&lt;&gt;"")*((('01_EXECUTIVE_DASHBOARD'!$C$42="All")+($M$5:$M16='01_EXECUTIVE_DASHBOARD'!$C$42))&gt;0)*((('01_EXECUTIVE_DASHBOARD'!$F$42="All")+($N$5:$N16='01_EXECUTIVE_DASHBOARD'!$F$42))&gt;0)*((('01_EXECUTIVE_DASHBOARD'!$I$42="All")+($D$5:$D16='01_EXECUTIVE_DASHBOARD'!$I$42))&gt;0)),""))</f>
        <v/>
      </c>
      <c r="AB16" s="65">
        <f>IF(C16="","",TEXT(H16,"dd-mmm-yy")&amp;" - "&amp;TEXT(IF(K16&lt;&gt;"",K16,J16),"dd-mmm-yy"))</f>
        <v/>
      </c>
      <c r="AC16" s="65">
        <f>IF(C16="","",TEXT(O16,"#,##0")&amp;" / "&amp;TEXT(P16,"#,##0"))</f>
        <v/>
      </c>
    </row>
    <row r="17" ht="28" customHeight="1">
      <c r="A17" s="65" t="n"/>
      <c r="B17" s="65" t="n"/>
      <c r="C17" s="65" t="n"/>
      <c r="D17" s="65" t="n"/>
      <c r="E17" s="65" t="n"/>
      <c r="F17" s="65" t="n"/>
      <c r="G17" s="65" t="n"/>
      <c r="H17" s="66" t="n"/>
      <c r="I17" s="66" t="n"/>
      <c r="J17" s="66" t="n"/>
      <c r="K17" s="66" t="n"/>
      <c r="L17" s="67" t="n"/>
      <c r="M17" s="65" t="n"/>
      <c r="N17" s="65" t="n"/>
      <c r="O17" s="68" t="n"/>
      <c r="P17" s="68" t="n"/>
      <c r="Q17" s="68" t="n"/>
      <c r="R17" s="69">
        <f>IF(OR(I17="",J17=""),"",J17-I17)</f>
        <v/>
      </c>
      <c r="S17" s="68">
        <f>IF(OR(O17="",P17=""),"",O17-P17)</f>
        <v/>
      </c>
      <c r="T17" s="65">
        <f>IFERROR(INDEX('05_MILESTONES'!$C$5:$C$34,MATCH(AGGREGATE(15,6,'05_MILESTONES'!$M$5:$M$34/('05_MILESTONES'!$B$5:$B$34=$C17),1),'05_MILESTONES'!$M$5:$M$34,0)),"")</f>
        <v/>
      </c>
      <c r="U17" s="66">
        <f>IFERROR(INT(AGGREGATE(15,6,'05_MILESTONES'!$M$5:$M$34/('05_MILESTONES'!$B$5:$B$34=$C17),1)),"")</f>
        <v/>
      </c>
      <c r="V17" s="65">
        <f>IF(C17="","",IF(M17="Completed","Closed",IF(M17="Cancelled","N/A",IF(N17="Red","Critical",IF(OR(N17="Yellow",AND(Q17&lt;&gt;"",O17&lt;&gt;"",Q17&gt;O17),AND(R17&lt;&gt;"",R17&gt;7)),"Needs Attention","Healthy")))))</f>
        <v/>
      </c>
      <c r="W17" s="66" t="n"/>
      <c r="X17" s="70" t="n"/>
      <c r="Y17" s="69">
        <f>IF(C17="","",COUNTIF($C$5:$C17,"?*"))</f>
        <v/>
      </c>
      <c r="Z17" s="69">
        <f>IF(OR(C17="",N17&lt;&gt;"Red"),"",COUNTIF($N$5:$N$34,"Red")-COUNTIF($N$5:$N17,"Red")+1)</f>
        <v/>
      </c>
      <c r="AA17" s="69">
        <f>IF(C17="","",IF(AND(OR('01_EXECUTIVE_DASHBOARD'!$C$42="All",'01_EXECUTIVE_DASHBOARD'!$C$42=$M17),OR('01_EXECUTIVE_DASHBOARD'!$F$42="All",'01_EXECUTIVE_DASHBOARD'!$F$42=$N17),OR('01_EXECUTIVE_DASHBOARD'!$I$42="All",'01_EXECUTIVE_DASHBOARD'!$I$42=$D17)),SUMPRODUCT(($C$5:$C17&lt;&gt;"")*((('01_EXECUTIVE_DASHBOARD'!$C$42="All")+($M$5:$M17='01_EXECUTIVE_DASHBOARD'!$C$42))&gt;0)*((('01_EXECUTIVE_DASHBOARD'!$F$42="All")+($N$5:$N17='01_EXECUTIVE_DASHBOARD'!$F$42))&gt;0)*((('01_EXECUTIVE_DASHBOARD'!$I$42="All")+($D$5:$D17='01_EXECUTIVE_DASHBOARD'!$I$42))&gt;0)),""))</f>
        <v/>
      </c>
      <c r="AB17" s="65">
        <f>IF(C17="","",TEXT(H17,"dd-mmm-yy")&amp;" - "&amp;TEXT(IF(K17&lt;&gt;"",K17,J17),"dd-mmm-yy"))</f>
        <v/>
      </c>
      <c r="AC17" s="65">
        <f>IF(C17="","",TEXT(O17,"#,##0")&amp;" / "&amp;TEXT(P17,"#,##0"))</f>
        <v/>
      </c>
    </row>
    <row r="18" ht="28" customHeight="1">
      <c r="A18" s="65" t="n"/>
      <c r="B18" s="65" t="n"/>
      <c r="C18" s="65" t="n"/>
      <c r="D18" s="65" t="n"/>
      <c r="E18" s="65" t="n"/>
      <c r="F18" s="65" t="n"/>
      <c r="G18" s="65" t="n"/>
      <c r="H18" s="66" t="n"/>
      <c r="I18" s="66" t="n"/>
      <c r="J18" s="66" t="n"/>
      <c r="K18" s="66" t="n"/>
      <c r="L18" s="67" t="n"/>
      <c r="M18" s="65" t="n"/>
      <c r="N18" s="65" t="n"/>
      <c r="O18" s="68" t="n"/>
      <c r="P18" s="68" t="n"/>
      <c r="Q18" s="68" t="n"/>
      <c r="R18" s="69">
        <f>IF(OR(I18="",J18=""),"",J18-I18)</f>
        <v/>
      </c>
      <c r="S18" s="68">
        <f>IF(OR(O18="",P18=""),"",O18-P18)</f>
        <v/>
      </c>
      <c r="T18" s="65">
        <f>IFERROR(INDEX('05_MILESTONES'!$C$5:$C$34,MATCH(AGGREGATE(15,6,'05_MILESTONES'!$M$5:$M$34/('05_MILESTONES'!$B$5:$B$34=$C18),1),'05_MILESTONES'!$M$5:$M$34,0)),"")</f>
        <v/>
      </c>
      <c r="U18" s="66">
        <f>IFERROR(INT(AGGREGATE(15,6,'05_MILESTONES'!$M$5:$M$34/('05_MILESTONES'!$B$5:$B$34=$C18),1)),"")</f>
        <v/>
      </c>
      <c r="V18" s="65">
        <f>IF(C18="","",IF(M18="Completed","Closed",IF(M18="Cancelled","N/A",IF(N18="Red","Critical",IF(OR(N18="Yellow",AND(Q18&lt;&gt;"",O18&lt;&gt;"",Q18&gt;O18),AND(R18&lt;&gt;"",R18&gt;7)),"Needs Attention","Healthy")))))</f>
        <v/>
      </c>
      <c r="W18" s="66" t="n"/>
      <c r="X18" s="70" t="n"/>
      <c r="Y18" s="69">
        <f>IF(C18="","",COUNTIF($C$5:$C18,"?*"))</f>
        <v/>
      </c>
      <c r="Z18" s="69">
        <f>IF(OR(C18="",N18&lt;&gt;"Red"),"",COUNTIF($N$5:$N$34,"Red")-COUNTIF($N$5:$N18,"Red")+1)</f>
        <v/>
      </c>
      <c r="AA18" s="69">
        <f>IF(C18="","",IF(AND(OR('01_EXECUTIVE_DASHBOARD'!$C$42="All",'01_EXECUTIVE_DASHBOARD'!$C$42=$M18),OR('01_EXECUTIVE_DASHBOARD'!$F$42="All",'01_EXECUTIVE_DASHBOARD'!$F$42=$N18),OR('01_EXECUTIVE_DASHBOARD'!$I$42="All",'01_EXECUTIVE_DASHBOARD'!$I$42=$D18)),SUMPRODUCT(($C$5:$C18&lt;&gt;"")*((('01_EXECUTIVE_DASHBOARD'!$C$42="All")+($M$5:$M18='01_EXECUTIVE_DASHBOARD'!$C$42))&gt;0)*((('01_EXECUTIVE_DASHBOARD'!$F$42="All")+($N$5:$N18='01_EXECUTIVE_DASHBOARD'!$F$42))&gt;0)*((('01_EXECUTIVE_DASHBOARD'!$I$42="All")+($D$5:$D18='01_EXECUTIVE_DASHBOARD'!$I$42))&gt;0)),""))</f>
        <v/>
      </c>
      <c r="AB18" s="65">
        <f>IF(C18="","",TEXT(H18,"dd-mmm-yy")&amp;" - "&amp;TEXT(IF(K18&lt;&gt;"",K18,J18),"dd-mmm-yy"))</f>
        <v/>
      </c>
      <c r="AC18" s="65">
        <f>IF(C18="","",TEXT(O18,"#,##0")&amp;" / "&amp;TEXT(P18,"#,##0"))</f>
        <v/>
      </c>
    </row>
    <row r="19" ht="28" customHeight="1">
      <c r="A19" s="65" t="n"/>
      <c r="B19" s="65" t="n"/>
      <c r="C19" s="65" t="n"/>
      <c r="D19" s="65" t="n"/>
      <c r="E19" s="65" t="n"/>
      <c r="F19" s="65" t="n"/>
      <c r="G19" s="65" t="n"/>
      <c r="H19" s="66" t="n"/>
      <c r="I19" s="66" t="n"/>
      <c r="J19" s="66" t="n"/>
      <c r="K19" s="66" t="n"/>
      <c r="L19" s="67" t="n"/>
      <c r="M19" s="65" t="n"/>
      <c r="N19" s="65" t="n"/>
      <c r="O19" s="68" t="n"/>
      <c r="P19" s="68" t="n"/>
      <c r="Q19" s="68" t="n"/>
      <c r="R19" s="69">
        <f>IF(OR(I19="",J19=""),"",J19-I19)</f>
        <v/>
      </c>
      <c r="S19" s="68">
        <f>IF(OR(O19="",P19=""),"",O19-P19)</f>
        <v/>
      </c>
      <c r="T19" s="65">
        <f>IFERROR(INDEX('05_MILESTONES'!$C$5:$C$34,MATCH(AGGREGATE(15,6,'05_MILESTONES'!$M$5:$M$34/('05_MILESTONES'!$B$5:$B$34=$C19),1),'05_MILESTONES'!$M$5:$M$34,0)),"")</f>
        <v/>
      </c>
      <c r="U19" s="66">
        <f>IFERROR(INT(AGGREGATE(15,6,'05_MILESTONES'!$M$5:$M$34/('05_MILESTONES'!$B$5:$B$34=$C19),1)),"")</f>
        <v/>
      </c>
      <c r="V19" s="65">
        <f>IF(C19="","",IF(M19="Completed","Closed",IF(M19="Cancelled","N/A",IF(N19="Red","Critical",IF(OR(N19="Yellow",AND(Q19&lt;&gt;"",O19&lt;&gt;"",Q19&gt;O19),AND(R19&lt;&gt;"",R19&gt;7)),"Needs Attention","Healthy")))))</f>
        <v/>
      </c>
      <c r="W19" s="66" t="n"/>
      <c r="X19" s="70" t="n"/>
      <c r="Y19" s="69">
        <f>IF(C19="","",COUNTIF($C$5:$C19,"?*"))</f>
        <v/>
      </c>
      <c r="Z19" s="69">
        <f>IF(OR(C19="",N19&lt;&gt;"Red"),"",COUNTIF($N$5:$N$34,"Red")-COUNTIF($N$5:$N19,"Red")+1)</f>
        <v/>
      </c>
      <c r="AA19" s="69">
        <f>IF(C19="","",IF(AND(OR('01_EXECUTIVE_DASHBOARD'!$C$42="All",'01_EXECUTIVE_DASHBOARD'!$C$42=$M19),OR('01_EXECUTIVE_DASHBOARD'!$F$42="All",'01_EXECUTIVE_DASHBOARD'!$F$42=$N19),OR('01_EXECUTIVE_DASHBOARD'!$I$42="All",'01_EXECUTIVE_DASHBOARD'!$I$42=$D19)),SUMPRODUCT(($C$5:$C19&lt;&gt;"")*((('01_EXECUTIVE_DASHBOARD'!$C$42="All")+($M$5:$M19='01_EXECUTIVE_DASHBOARD'!$C$42))&gt;0)*((('01_EXECUTIVE_DASHBOARD'!$F$42="All")+($N$5:$N19='01_EXECUTIVE_DASHBOARD'!$F$42))&gt;0)*((('01_EXECUTIVE_DASHBOARD'!$I$42="All")+($D$5:$D19='01_EXECUTIVE_DASHBOARD'!$I$42))&gt;0)),""))</f>
        <v/>
      </c>
      <c r="AB19" s="65">
        <f>IF(C19="","",TEXT(H19,"dd-mmm-yy")&amp;" - "&amp;TEXT(IF(K19&lt;&gt;"",K19,J19),"dd-mmm-yy"))</f>
        <v/>
      </c>
      <c r="AC19" s="65">
        <f>IF(C19="","",TEXT(O19,"#,##0")&amp;" / "&amp;TEXT(P19,"#,##0"))</f>
        <v/>
      </c>
    </row>
    <row r="20" ht="28" customHeight="1">
      <c r="A20" s="65" t="n"/>
      <c r="B20" s="65" t="n"/>
      <c r="C20" s="65" t="n"/>
      <c r="D20" s="65" t="n"/>
      <c r="E20" s="65" t="n"/>
      <c r="F20" s="65" t="n"/>
      <c r="G20" s="65" t="n"/>
      <c r="H20" s="66" t="n"/>
      <c r="I20" s="66" t="n"/>
      <c r="J20" s="66" t="n"/>
      <c r="K20" s="66" t="n"/>
      <c r="L20" s="67" t="n"/>
      <c r="M20" s="65" t="n"/>
      <c r="N20" s="65" t="n"/>
      <c r="O20" s="68" t="n"/>
      <c r="P20" s="68" t="n"/>
      <c r="Q20" s="68" t="n"/>
      <c r="R20" s="69">
        <f>IF(OR(I20="",J20=""),"",J20-I20)</f>
        <v/>
      </c>
      <c r="S20" s="68">
        <f>IF(OR(O20="",P20=""),"",O20-P20)</f>
        <v/>
      </c>
      <c r="T20" s="65">
        <f>IFERROR(INDEX('05_MILESTONES'!$C$5:$C$34,MATCH(AGGREGATE(15,6,'05_MILESTONES'!$M$5:$M$34/('05_MILESTONES'!$B$5:$B$34=$C20),1),'05_MILESTONES'!$M$5:$M$34,0)),"")</f>
        <v/>
      </c>
      <c r="U20" s="66">
        <f>IFERROR(INT(AGGREGATE(15,6,'05_MILESTONES'!$M$5:$M$34/('05_MILESTONES'!$B$5:$B$34=$C20),1)),"")</f>
        <v/>
      </c>
      <c r="V20" s="65">
        <f>IF(C20="","",IF(M20="Completed","Closed",IF(M20="Cancelled","N/A",IF(N20="Red","Critical",IF(OR(N20="Yellow",AND(Q20&lt;&gt;"",O20&lt;&gt;"",Q20&gt;O20),AND(R20&lt;&gt;"",R20&gt;7)),"Needs Attention","Healthy")))))</f>
        <v/>
      </c>
      <c r="W20" s="66" t="n"/>
      <c r="X20" s="70" t="n"/>
      <c r="Y20" s="69">
        <f>IF(C20="","",COUNTIF($C$5:$C20,"?*"))</f>
        <v/>
      </c>
      <c r="Z20" s="69">
        <f>IF(OR(C20="",N20&lt;&gt;"Red"),"",COUNTIF($N$5:$N$34,"Red")-COUNTIF($N$5:$N20,"Red")+1)</f>
        <v/>
      </c>
      <c r="AA20" s="69">
        <f>IF(C20="","",IF(AND(OR('01_EXECUTIVE_DASHBOARD'!$C$42="All",'01_EXECUTIVE_DASHBOARD'!$C$42=$M20),OR('01_EXECUTIVE_DASHBOARD'!$F$42="All",'01_EXECUTIVE_DASHBOARD'!$F$42=$N20),OR('01_EXECUTIVE_DASHBOARD'!$I$42="All",'01_EXECUTIVE_DASHBOARD'!$I$42=$D20)),SUMPRODUCT(($C$5:$C20&lt;&gt;"")*((('01_EXECUTIVE_DASHBOARD'!$C$42="All")+($M$5:$M20='01_EXECUTIVE_DASHBOARD'!$C$42))&gt;0)*((('01_EXECUTIVE_DASHBOARD'!$F$42="All")+($N$5:$N20='01_EXECUTIVE_DASHBOARD'!$F$42))&gt;0)*((('01_EXECUTIVE_DASHBOARD'!$I$42="All")+($D$5:$D20='01_EXECUTIVE_DASHBOARD'!$I$42))&gt;0)),""))</f>
        <v/>
      </c>
      <c r="AB20" s="65">
        <f>IF(C20="","",TEXT(H20,"dd-mmm-yy")&amp;" - "&amp;TEXT(IF(K20&lt;&gt;"",K20,J20),"dd-mmm-yy"))</f>
        <v/>
      </c>
      <c r="AC20" s="65">
        <f>IF(C20="","",TEXT(O20,"#,##0")&amp;" / "&amp;TEXT(P20,"#,##0"))</f>
        <v/>
      </c>
    </row>
    <row r="21" ht="28" customHeight="1">
      <c r="A21" s="65" t="n"/>
      <c r="B21" s="65" t="n"/>
      <c r="C21" s="65" t="n"/>
      <c r="D21" s="65" t="n"/>
      <c r="E21" s="65" t="n"/>
      <c r="F21" s="65" t="n"/>
      <c r="G21" s="65" t="n"/>
      <c r="H21" s="66" t="n"/>
      <c r="I21" s="66" t="n"/>
      <c r="J21" s="66" t="n"/>
      <c r="K21" s="66" t="n"/>
      <c r="L21" s="67" t="n"/>
      <c r="M21" s="65" t="n"/>
      <c r="N21" s="65" t="n"/>
      <c r="O21" s="68" t="n"/>
      <c r="P21" s="68" t="n"/>
      <c r="Q21" s="68" t="n"/>
      <c r="R21" s="69">
        <f>IF(OR(I21="",J21=""),"",J21-I21)</f>
        <v/>
      </c>
      <c r="S21" s="68">
        <f>IF(OR(O21="",P21=""),"",O21-P21)</f>
        <v/>
      </c>
      <c r="T21" s="65">
        <f>IFERROR(INDEX('05_MILESTONES'!$C$5:$C$34,MATCH(AGGREGATE(15,6,'05_MILESTONES'!$M$5:$M$34/('05_MILESTONES'!$B$5:$B$34=$C21),1),'05_MILESTONES'!$M$5:$M$34,0)),"")</f>
        <v/>
      </c>
      <c r="U21" s="66">
        <f>IFERROR(INT(AGGREGATE(15,6,'05_MILESTONES'!$M$5:$M$34/('05_MILESTONES'!$B$5:$B$34=$C21),1)),"")</f>
        <v/>
      </c>
      <c r="V21" s="65">
        <f>IF(C21="","",IF(M21="Completed","Closed",IF(M21="Cancelled","N/A",IF(N21="Red","Critical",IF(OR(N21="Yellow",AND(Q21&lt;&gt;"",O21&lt;&gt;"",Q21&gt;O21),AND(R21&lt;&gt;"",R21&gt;7)),"Needs Attention","Healthy")))))</f>
        <v/>
      </c>
      <c r="W21" s="66" t="n"/>
      <c r="X21" s="70" t="n"/>
      <c r="Y21" s="69">
        <f>IF(C21="","",COUNTIF($C$5:$C21,"?*"))</f>
        <v/>
      </c>
      <c r="Z21" s="69">
        <f>IF(OR(C21="",N21&lt;&gt;"Red"),"",COUNTIF($N$5:$N$34,"Red")-COUNTIF($N$5:$N21,"Red")+1)</f>
        <v/>
      </c>
      <c r="AA21" s="69">
        <f>IF(C21="","",IF(AND(OR('01_EXECUTIVE_DASHBOARD'!$C$42="All",'01_EXECUTIVE_DASHBOARD'!$C$42=$M21),OR('01_EXECUTIVE_DASHBOARD'!$F$42="All",'01_EXECUTIVE_DASHBOARD'!$F$42=$N21),OR('01_EXECUTIVE_DASHBOARD'!$I$42="All",'01_EXECUTIVE_DASHBOARD'!$I$42=$D21)),SUMPRODUCT(($C$5:$C21&lt;&gt;"")*((('01_EXECUTIVE_DASHBOARD'!$C$42="All")+($M$5:$M21='01_EXECUTIVE_DASHBOARD'!$C$42))&gt;0)*((('01_EXECUTIVE_DASHBOARD'!$F$42="All")+($N$5:$N21='01_EXECUTIVE_DASHBOARD'!$F$42))&gt;0)*((('01_EXECUTIVE_DASHBOARD'!$I$42="All")+($D$5:$D21='01_EXECUTIVE_DASHBOARD'!$I$42))&gt;0)),""))</f>
        <v/>
      </c>
      <c r="AB21" s="65">
        <f>IF(C21="","",TEXT(H21,"dd-mmm-yy")&amp;" - "&amp;TEXT(IF(K21&lt;&gt;"",K21,J21),"dd-mmm-yy"))</f>
        <v/>
      </c>
      <c r="AC21" s="65">
        <f>IF(C21="","",TEXT(O21,"#,##0")&amp;" / "&amp;TEXT(P21,"#,##0"))</f>
        <v/>
      </c>
    </row>
    <row r="22" ht="28" customHeight="1">
      <c r="A22" s="65" t="n"/>
      <c r="B22" s="65" t="n"/>
      <c r="C22" s="65" t="n"/>
      <c r="D22" s="65" t="n"/>
      <c r="E22" s="65" t="n"/>
      <c r="F22" s="65" t="n"/>
      <c r="G22" s="65" t="n"/>
      <c r="H22" s="66" t="n"/>
      <c r="I22" s="66" t="n"/>
      <c r="J22" s="66" t="n"/>
      <c r="K22" s="66" t="n"/>
      <c r="L22" s="67" t="n"/>
      <c r="M22" s="65" t="n"/>
      <c r="N22" s="65" t="n"/>
      <c r="O22" s="68" t="n"/>
      <c r="P22" s="68" t="n"/>
      <c r="Q22" s="68" t="n"/>
      <c r="R22" s="69">
        <f>IF(OR(I22="",J22=""),"",J22-I22)</f>
        <v/>
      </c>
      <c r="S22" s="68">
        <f>IF(OR(O22="",P22=""),"",O22-P22)</f>
        <v/>
      </c>
      <c r="T22" s="65">
        <f>IFERROR(INDEX('05_MILESTONES'!$C$5:$C$34,MATCH(AGGREGATE(15,6,'05_MILESTONES'!$M$5:$M$34/('05_MILESTONES'!$B$5:$B$34=$C22),1),'05_MILESTONES'!$M$5:$M$34,0)),"")</f>
        <v/>
      </c>
      <c r="U22" s="66">
        <f>IFERROR(INT(AGGREGATE(15,6,'05_MILESTONES'!$M$5:$M$34/('05_MILESTONES'!$B$5:$B$34=$C22),1)),"")</f>
        <v/>
      </c>
      <c r="V22" s="65">
        <f>IF(C22="","",IF(M22="Completed","Closed",IF(M22="Cancelled","N/A",IF(N22="Red","Critical",IF(OR(N22="Yellow",AND(Q22&lt;&gt;"",O22&lt;&gt;"",Q22&gt;O22),AND(R22&lt;&gt;"",R22&gt;7)),"Needs Attention","Healthy")))))</f>
        <v/>
      </c>
      <c r="W22" s="66" t="n"/>
      <c r="X22" s="70" t="n"/>
      <c r="Y22" s="69">
        <f>IF(C22="","",COUNTIF($C$5:$C22,"?*"))</f>
        <v/>
      </c>
      <c r="Z22" s="69">
        <f>IF(OR(C22="",N22&lt;&gt;"Red"),"",COUNTIF($N$5:$N$34,"Red")-COUNTIF($N$5:$N22,"Red")+1)</f>
        <v/>
      </c>
      <c r="AA22" s="69">
        <f>IF(C22="","",IF(AND(OR('01_EXECUTIVE_DASHBOARD'!$C$42="All",'01_EXECUTIVE_DASHBOARD'!$C$42=$M22),OR('01_EXECUTIVE_DASHBOARD'!$F$42="All",'01_EXECUTIVE_DASHBOARD'!$F$42=$N22),OR('01_EXECUTIVE_DASHBOARD'!$I$42="All",'01_EXECUTIVE_DASHBOARD'!$I$42=$D22)),SUMPRODUCT(($C$5:$C22&lt;&gt;"")*((('01_EXECUTIVE_DASHBOARD'!$C$42="All")+($M$5:$M22='01_EXECUTIVE_DASHBOARD'!$C$42))&gt;0)*((('01_EXECUTIVE_DASHBOARD'!$F$42="All")+($N$5:$N22='01_EXECUTIVE_DASHBOARD'!$F$42))&gt;0)*((('01_EXECUTIVE_DASHBOARD'!$I$42="All")+($D$5:$D22='01_EXECUTIVE_DASHBOARD'!$I$42))&gt;0)),""))</f>
        <v/>
      </c>
      <c r="AB22" s="65">
        <f>IF(C22="","",TEXT(H22,"dd-mmm-yy")&amp;" - "&amp;TEXT(IF(K22&lt;&gt;"",K22,J22),"dd-mmm-yy"))</f>
        <v/>
      </c>
      <c r="AC22" s="65">
        <f>IF(C22="","",TEXT(O22,"#,##0")&amp;" / "&amp;TEXT(P22,"#,##0"))</f>
        <v/>
      </c>
    </row>
    <row r="23" ht="28" customHeight="1">
      <c r="A23" s="65" t="n"/>
      <c r="B23" s="65" t="n"/>
      <c r="C23" s="65" t="n"/>
      <c r="D23" s="65" t="n"/>
      <c r="E23" s="65" t="n"/>
      <c r="F23" s="65" t="n"/>
      <c r="G23" s="65" t="n"/>
      <c r="H23" s="66" t="n"/>
      <c r="I23" s="66" t="n"/>
      <c r="J23" s="66" t="n"/>
      <c r="K23" s="66" t="n"/>
      <c r="L23" s="67" t="n"/>
      <c r="M23" s="65" t="n"/>
      <c r="N23" s="65" t="n"/>
      <c r="O23" s="68" t="n"/>
      <c r="P23" s="68" t="n"/>
      <c r="Q23" s="68" t="n"/>
      <c r="R23" s="69">
        <f>IF(OR(I23="",J23=""),"",J23-I23)</f>
        <v/>
      </c>
      <c r="S23" s="68">
        <f>IF(OR(O23="",P23=""),"",O23-P23)</f>
        <v/>
      </c>
      <c r="T23" s="65">
        <f>IFERROR(INDEX('05_MILESTONES'!$C$5:$C$34,MATCH(AGGREGATE(15,6,'05_MILESTONES'!$M$5:$M$34/('05_MILESTONES'!$B$5:$B$34=$C23),1),'05_MILESTONES'!$M$5:$M$34,0)),"")</f>
        <v/>
      </c>
      <c r="U23" s="66">
        <f>IFERROR(INT(AGGREGATE(15,6,'05_MILESTONES'!$M$5:$M$34/('05_MILESTONES'!$B$5:$B$34=$C23),1)),"")</f>
        <v/>
      </c>
      <c r="V23" s="65">
        <f>IF(C23="","",IF(M23="Completed","Closed",IF(M23="Cancelled","N/A",IF(N23="Red","Critical",IF(OR(N23="Yellow",AND(Q23&lt;&gt;"",O23&lt;&gt;"",Q23&gt;O23),AND(R23&lt;&gt;"",R23&gt;7)),"Needs Attention","Healthy")))))</f>
        <v/>
      </c>
      <c r="W23" s="66" t="n"/>
      <c r="X23" s="70" t="n"/>
      <c r="Y23" s="69">
        <f>IF(C23="","",COUNTIF($C$5:$C23,"?*"))</f>
        <v/>
      </c>
      <c r="Z23" s="69">
        <f>IF(OR(C23="",N23&lt;&gt;"Red"),"",COUNTIF($N$5:$N$34,"Red")-COUNTIF($N$5:$N23,"Red")+1)</f>
        <v/>
      </c>
      <c r="AA23" s="69">
        <f>IF(C23="","",IF(AND(OR('01_EXECUTIVE_DASHBOARD'!$C$42="All",'01_EXECUTIVE_DASHBOARD'!$C$42=$M23),OR('01_EXECUTIVE_DASHBOARD'!$F$42="All",'01_EXECUTIVE_DASHBOARD'!$F$42=$N23),OR('01_EXECUTIVE_DASHBOARD'!$I$42="All",'01_EXECUTIVE_DASHBOARD'!$I$42=$D23)),SUMPRODUCT(($C$5:$C23&lt;&gt;"")*((('01_EXECUTIVE_DASHBOARD'!$C$42="All")+($M$5:$M23='01_EXECUTIVE_DASHBOARD'!$C$42))&gt;0)*((('01_EXECUTIVE_DASHBOARD'!$F$42="All")+($N$5:$N23='01_EXECUTIVE_DASHBOARD'!$F$42))&gt;0)*((('01_EXECUTIVE_DASHBOARD'!$I$42="All")+($D$5:$D23='01_EXECUTIVE_DASHBOARD'!$I$42))&gt;0)),""))</f>
        <v/>
      </c>
      <c r="AB23" s="65">
        <f>IF(C23="","",TEXT(H23,"dd-mmm-yy")&amp;" - "&amp;TEXT(IF(K23&lt;&gt;"",K23,J23),"dd-mmm-yy"))</f>
        <v/>
      </c>
      <c r="AC23" s="65">
        <f>IF(C23="","",TEXT(O23,"#,##0")&amp;" / "&amp;TEXT(P23,"#,##0"))</f>
        <v/>
      </c>
    </row>
    <row r="24" ht="28" customHeight="1">
      <c r="A24" s="65" t="n"/>
      <c r="B24" s="65" t="n"/>
      <c r="C24" s="65" t="n"/>
      <c r="D24" s="65" t="n"/>
      <c r="E24" s="65" t="n"/>
      <c r="F24" s="65" t="n"/>
      <c r="G24" s="65" t="n"/>
      <c r="H24" s="66" t="n"/>
      <c r="I24" s="66" t="n"/>
      <c r="J24" s="66" t="n"/>
      <c r="K24" s="66" t="n"/>
      <c r="L24" s="67" t="n"/>
      <c r="M24" s="65" t="n"/>
      <c r="N24" s="65" t="n"/>
      <c r="O24" s="68" t="n"/>
      <c r="P24" s="68" t="n"/>
      <c r="Q24" s="68" t="n"/>
      <c r="R24" s="69">
        <f>IF(OR(I24="",J24=""),"",J24-I24)</f>
        <v/>
      </c>
      <c r="S24" s="68">
        <f>IF(OR(O24="",P24=""),"",O24-P24)</f>
        <v/>
      </c>
      <c r="T24" s="65">
        <f>IFERROR(INDEX('05_MILESTONES'!$C$5:$C$34,MATCH(AGGREGATE(15,6,'05_MILESTONES'!$M$5:$M$34/('05_MILESTONES'!$B$5:$B$34=$C24),1),'05_MILESTONES'!$M$5:$M$34,0)),"")</f>
        <v/>
      </c>
      <c r="U24" s="66">
        <f>IFERROR(INT(AGGREGATE(15,6,'05_MILESTONES'!$M$5:$M$34/('05_MILESTONES'!$B$5:$B$34=$C24),1)),"")</f>
        <v/>
      </c>
      <c r="V24" s="65">
        <f>IF(C24="","",IF(M24="Completed","Closed",IF(M24="Cancelled","N/A",IF(N24="Red","Critical",IF(OR(N24="Yellow",AND(Q24&lt;&gt;"",O24&lt;&gt;"",Q24&gt;O24),AND(R24&lt;&gt;"",R24&gt;7)),"Needs Attention","Healthy")))))</f>
        <v/>
      </c>
      <c r="W24" s="66" t="n"/>
      <c r="X24" s="70" t="n"/>
      <c r="Y24" s="69">
        <f>IF(C24="","",COUNTIF($C$5:$C24,"?*"))</f>
        <v/>
      </c>
      <c r="Z24" s="69">
        <f>IF(OR(C24="",N24&lt;&gt;"Red"),"",COUNTIF($N$5:$N$34,"Red")-COUNTIF($N$5:$N24,"Red")+1)</f>
        <v/>
      </c>
      <c r="AA24" s="69">
        <f>IF(C24="","",IF(AND(OR('01_EXECUTIVE_DASHBOARD'!$C$42="All",'01_EXECUTIVE_DASHBOARD'!$C$42=$M24),OR('01_EXECUTIVE_DASHBOARD'!$F$42="All",'01_EXECUTIVE_DASHBOARD'!$F$42=$N24),OR('01_EXECUTIVE_DASHBOARD'!$I$42="All",'01_EXECUTIVE_DASHBOARD'!$I$42=$D24)),SUMPRODUCT(($C$5:$C24&lt;&gt;"")*((('01_EXECUTIVE_DASHBOARD'!$C$42="All")+($M$5:$M24='01_EXECUTIVE_DASHBOARD'!$C$42))&gt;0)*((('01_EXECUTIVE_DASHBOARD'!$F$42="All")+($N$5:$N24='01_EXECUTIVE_DASHBOARD'!$F$42))&gt;0)*((('01_EXECUTIVE_DASHBOARD'!$I$42="All")+($D$5:$D24='01_EXECUTIVE_DASHBOARD'!$I$42))&gt;0)),""))</f>
        <v/>
      </c>
      <c r="AB24" s="65">
        <f>IF(C24="","",TEXT(H24,"dd-mmm-yy")&amp;" - "&amp;TEXT(IF(K24&lt;&gt;"",K24,J24),"dd-mmm-yy"))</f>
        <v/>
      </c>
      <c r="AC24" s="65">
        <f>IF(C24="","",TEXT(O24,"#,##0")&amp;" / "&amp;TEXT(P24,"#,##0"))</f>
        <v/>
      </c>
    </row>
    <row r="25" ht="28" customHeight="1">
      <c r="A25" s="65" t="n"/>
      <c r="B25" s="65" t="n"/>
      <c r="C25" s="65" t="n"/>
      <c r="D25" s="65" t="n"/>
      <c r="E25" s="65" t="n"/>
      <c r="F25" s="65" t="n"/>
      <c r="G25" s="65" t="n"/>
      <c r="H25" s="66" t="n"/>
      <c r="I25" s="66" t="n"/>
      <c r="J25" s="66" t="n"/>
      <c r="K25" s="66" t="n"/>
      <c r="L25" s="67" t="n"/>
      <c r="M25" s="65" t="n"/>
      <c r="N25" s="65" t="n"/>
      <c r="O25" s="68" t="n"/>
      <c r="P25" s="68" t="n"/>
      <c r="Q25" s="68" t="n"/>
      <c r="R25" s="69">
        <f>IF(OR(I25="",J25=""),"",J25-I25)</f>
        <v/>
      </c>
      <c r="S25" s="68">
        <f>IF(OR(O25="",P25=""),"",O25-P25)</f>
        <v/>
      </c>
      <c r="T25" s="65">
        <f>IFERROR(INDEX('05_MILESTONES'!$C$5:$C$34,MATCH(AGGREGATE(15,6,'05_MILESTONES'!$M$5:$M$34/('05_MILESTONES'!$B$5:$B$34=$C25),1),'05_MILESTONES'!$M$5:$M$34,0)),"")</f>
        <v/>
      </c>
      <c r="U25" s="66">
        <f>IFERROR(INT(AGGREGATE(15,6,'05_MILESTONES'!$M$5:$M$34/('05_MILESTONES'!$B$5:$B$34=$C25),1)),"")</f>
        <v/>
      </c>
      <c r="V25" s="65">
        <f>IF(C25="","",IF(M25="Completed","Closed",IF(M25="Cancelled","N/A",IF(N25="Red","Critical",IF(OR(N25="Yellow",AND(Q25&lt;&gt;"",O25&lt;&gt;"",Q25&gt;O25),AND(R25&lt;&gt;"",R25&gt;7)),"Needs Attention","Healthy")))))</f>
        <v/>
      </c>
      <c r="W25" s="66" t="n"/>
      <c r="X25" s="70" t="n"/>
      <c r="Y25" s="69">
        <f>IF(C25="","",COUNTIF($C$5:$C25,"?*"))</f>
        <v/>
      </c>
      <c r="Z25" s="69">
        <f>IF(OR(C25="",N25&lt;&gt;"Red"),"",COUNTIF($N$5:$N$34,"Red")-COUNTIF($N$5:$N25,"Red")+1)</f>
        <v/>
      </c>
      <c r="AA25" s="69">
        <f>IF(C25="","",IF(AND(OR('01_EXECUTIVE_DASHBOARD'!$C$42="All",'01_EXECUTIVE_DASHBOARD'!$C$42=$M25),OR('01_EXECUTIVE_DASHBOARD'!$F$42="All",'01_EXECUTIVE_DASHBOARD'!$F$42=$N25),OR('01_EXECUTIVE_DASHBOARD'!$I$42="All",'01_EXECUTIVE_DASHBOARD'!$I$42=$D25)),SUMPRODUCT(($C$5:$C25&lt;&gt;"")*((('01_EXECUTIVE_DASHBOARD'!$C$42="All")+($M$5:$M25='01_EXECUTIVE_DASHBOARD'!$C$42))&gt;0)*((('01_EXECUTIVE_DASHBOARD'!$F$42="All")+($N$5:$N25='01_EXECUTIVE_DASHBOARD'!$F$42))&gt;0)*((('01_EXECUTIVE_DASHBOARD'!$I$42="All")+($D$5:$D25='01_EXECUTIVE_DASHBOARD'!$I$42))&gt;0)),""))</f>
        <v/>
      </c>
      <c r="AB25" s="65">
        <f>IF(C25="","",TEXT(H25,"dd-mmm-yy")&amp;" - "&amp;TEXT(IF(K25&lt;&gt;"",K25,J25),"dd-mmm-yy"))</f>
        <v/>
      </c>
      <c r="AC25" s="65">
        <f>IF(C25="","",TEXT(O25,"#,##0")&amp;" / "&amp;TEXT(P25,"#,##0"))</f>
        <v/>
      </c>
    </row>
    <row r="26" ht="28" customHeight="1">
      <c r="A26" s="65" t="n"/>
      <c r="B26" s="65" t="n"/>
      <c r="C26" s="65" t="n"/>
      <c r="D26" s="65" t="n"/>
      <c r="E26" s="65" t="n"/>
      <c r="F26" s="65" t="n"/>
      <c r="G26" s="65" t="n"/>
      <c r="H26" s="66" t="n"/>
      <c r="I26" s="66" t="n"/>
      <c r="J26" s="66" t="n"/>
      <c r="K26" s="66" t="n"/>
      <c r="L26" s="67" t="n"/>
      <c r="M26" s="65" t="n"/>
      <c r="N26" s="65" t="n"/>
      <c r="O26" s="68" t="n"/>
      <c r="P26" s="68" t="n"/>
      <c r="Q26" s="68" t="n"/>
      <c r="R26" s="69">
        <f>IF(OR(I26="",J26=""),"",J26-I26)</f>
        <v/>
      </c>
      <c r="S26" s="68">
        <f>IF(OR(O26="",P26=""),"",O26-P26)</f>
        <v/>
      </c>
      <c r="T26" s="65">
        <f>IFERROR(INDEX('05_MILESTONES'!$C$5:$C$34,MATCH(AGGREGATE(15,6,'05_MILESTONES'!$M$5:$M$34/('05_MILESTONES'!$B$5:$B$34=$C26),1),'05_MILESTONES'!$M$5:$M$34,0)),"")</f>
        <v/>
      </c>
      <c r="U26" s="66">
        <f>IFERROR(INT(AGGREGATE(15,6,'05_MILESTONES'!$M$5:$M$34/('05_MILESTONES'!$B$5:$B$34=$C26),1)),"")</f>
        <v/>
      </c>
      <c r="V26" s="65">
        <f>IF(C26="","",IF(M26="Completed","Closed",IF(M26="Cancelled","N/A",IF(N26="Red","Critical",IF(OR(N26="Yellow",AND(Q26&lt;&gt;"",O26&lt;&gt;"",Q26&gt;O26),AND(R26&lt;&gt;"",R26&gt;7)),"Needs Attention","Healthy")))))</f>
        <v/>
      </c>
      <c r="W26" s="66" t="n"/>
      <c r="X26" s="70" t="n"/>
      <c r="Y26" s="69">
        <f>IF(C26="","",COUNTIF($C$5:$C26,"?*"))</f>
        <v/>
      </c>
      <c r="Z26" s="69">
        <f>IF(OR(C26="",N26&lt;&gt;"Red"),"",COUNTIF($N$5:$N$34,"Red")-COUNTIF($N$5:$N26,"Red")+1)</f>
        <v/>
      </c>
      <c r="AA26" s="69">
        <f>IF(C26="","",IF(AND(OR('01_EXECUTIVE_DASHBOARD'!$C$42="All",'01_EXECUTIVE_DASHBOARD'!$C$42=$M26),OR('01_EXECUTIVE_DASHBOARD'!$F$42="All",'01_EXECUTIVE_DASHBOARD'!$F$42=$N26),OR('01_EXECUTIVE_DASHBOARD'!$I$42="All",'01_EXECUTIVE_DASHBOARD'!$I$42=$D26)),SUMPRODUCT(($C$5:$C26&lt;&gt;"")*((('01_EXECUTIVE_DASHBOARD'!$C$42="All")+($M$5:$M26='01_EXECUTIVE_DASHBOARD'!$C$42))&gt;0)*((('01_EXECUTIVE_DASHBOARD'!$F$42="All")+($N$5:$N26='01_EXECUTIVE_DASHBOARD'!$F$42))&gt;0)*((('01_EXECUTIVE_DASHBOARD'!$I$42="All")+($D$5:$D26='01_EXECUTIVE_DASHBOARD'!$I$42))&gt;0)),""))</f>
        <v/>
      </c>
      <c r="AB26" s="65">
        <f>IF(C26="","",TEXT(H26,"dd-mmm-yy")&amp;" - "&amp;TEXT(IF(K26&lt;&gt;"",K26,J26),"dd-mmm-yy"))</f>
        <v/>
      </c>
      <c r="AC26" s="65">
        <f>IF(C26="","",TEXT(O26,"#,##0")&amp;" / "&amp;TEXT(P26,"#,##0"))</f>
        <v/>
      </c>
    </row>
    <row r="27" ht="28" customHeight="1">
      <c r="A27" s="65" t="n"/>
      <c r="B27" s="65" t="n"/>
      <c r="C27" s="65" t="n"/>
      <c r="D27" s="65" t="n"/>
      <c r="E27" s="65" t="n"/>
      <c r="F27" s="65" t="n"/>
      <c r="G27" s="65" t="n"/>
      <c r="H27" s="66" t="n"/>
      <c r="I27" s="66" t="n"/>
      <c r="J27" s="66" t="n"/>
      <c r="K27" s="66" t="n"/>
      <c r="L27" s="67" t="n"/>
      <c r="M27" s="65" t="n"/>
      <c r="N27" s="65" t="n"/>
      <c r="O27" s="68" t="n"/>
      <c r="P27" s="68" t="n"/>
      <c r="Q27" s="68" t="n"/>
      <c r="R27" s="69">
        <f>IF(OR(I27="",J27=""),"",J27-I27)</f>
        <v/>
      </c>
      <c r="S27" s="68">
        <f>IF(OR(O27="",P27=""),"",O27-P27)</f>
        <v/>
      </c>
      <c r="T27" s="65">
        <f>IFERROR(INDEX('05_MILESTONES'!$C$5:$C$34,MATCH(AGGREGATE(15,6,'05_MILESTONES'!$M$5:$M$34/('05_MILESTONES'!$B$5:$B$34=$C27),1),'05_MILESTONES'!$M$5:$M$34,0)),"")</f>
        <v/>
      </c>
      <c r="U27" s="66">
        <f>IFERROR(INT(AGGREGATE(15,6,'05_MILESTONES'!$M$5:$M$34/('05_MILESTONES'!$B$5:$B$34=$C27),1)),"")</f>
        <v/>
      </c>
      <c r="V27" s="65">
        <f>IF(C27="","",IF(M27="Completed","Closed",IF(M27="Cancelled","N/A",IF(N27="Red","Critical",IF(OR(N27="Yellow",AND(Q27&lt;&gt;"",O27&lt;&gt;"",Q27&gt;O27),AND(R27&lt;&gt;"",R27&gt;7)),"Needs Attention","Healthy")))))</f>
        <v/>
      </c>
      <c r="W27" s="66" t="n"/>
      <c r="X27" s="70" t="n"/>
      <c r="Y27" s="69">
        <f>IF(C27="","",COUNTIF($C$5:$C27,"?*"))</f>
        <v/>
      </c>
      <c r="Z27" s="69">
        <f>IF(OR(C27="",N27&lt;&gt;"Red"),"",COUNTIF($N$5:$N$34,"Red")-COUNTIF($N$5:$N27,"Red")+1)</f>
        <v/>
      </c>
      <c r="AA27" s="69">
        <f>IF(C27="","",IF(AND(OR('01_EXECUTIVE_DASHBOARD'!$C$42="All",'01_EXECUTIVE_DASHBOARD'!$C$42=$M27),OR('01_EXECUTIVE_DASHBOARD'!$F$42="All",'01_EXECUTIVE_DASHBOARD'!$F$42=$N27),OR('01_EXECUTIVE_DASHBOARD'!$I$42="All",'01_EXECUTIVE_DASHBOARD'!$I$42=$D27)),SUMPRODUCT(($C$5:$C27&lt;&gt;"")*((('01_EXECUTIVE_DASHBOARD'!$C$42="All")+($M$5:$M27='01_EXECUTIVE_DASHBOARD'!$C$42))&gt;0)*((('01_EXECUTIVE_DASHBOARD'!$F$42="All")+($N$5:$N27='01_EXECUTIVE_DASHBOARD'!$F$42))&gt;0)*((('01_EXECUTIVE_DASHBOARD'!$I$42="All")+($D$5:$D27='01_EXECUTIVE_DASHBOARD'!$I$42))&gt;0)),""))</f>
        <v/>
      </c>
      <c r="AB27" s="65">
        <f>IF(C27="","",TEXT(H27,"dd-mmm-yy")&amp;" - "&amp;TEXT(IF(K27&lt;&gt;"",K27,J27),"dd-mmm-yy"))</f>
        <v/>
      </c>
      <c r="AC27" s="65">
        <f>IF(C27="","",TEXT(O27,"#,##0")&amp;" / "&amp;TEXT(P27,"#,##0"))</f>
        <v/>
      </c>
    </row>
    <row r="28" ht="28" customHeight="1">
      <c r="A28" s="65" t="n"/>
      <c r="B28" s="65" t="n"/>
      <c r="C28" s="65" t="n"/>
      <c r="D28" s="65" t="n"/>
      <c r="E28" s="65" t="n"/>
      <c r="F28" s="65" t="n"/>
      <c r="G28" s="65" t="n"/>
      <c r="H28" s="66" t="n"/>
      <c r="I28" s="66" t="n"/>
      <c r="J28" s="66" t="n"/>
      <c r="K28" s="66" t="n"/>
      <c r="L28" s="67" t="n"/>
      <c r="M28" s="65" t="n"/>
      <c r="N28" s="65" t="n"/>
      <c r="O28" s="68" t="n"/>
      <c r="P28" s="68" t="n"/>
      <c r="Q28" s="68" t="n"/>
      <c r="R28" s="69">
        <f>IF(OR(I28="",J28=""),"",J28-I28)</f>
        <v/>
      </c>
      <c r="S28" s="68">
        <f>IF(OR(O28="",P28=""),"",O28-P28)</f>
        <v/>
      </c>
      <c r="T28" s="65">
        <f>IFERROR(INDEX('05_MILESTONES'!$C$5:$C$34,MATCH(AGGREGATE(15,6,'05_MILESTONES'!$M$5:$M$34/('05_MILESTONES'!$B$5:$B$34=$C28),1),'05_MILESTONES'!$M$5:$M$34,0)),"")</f>
        <v/>
      </c>
      <c r="U28" s="66">
        <f>IFERROR(INT(AGGREGATE(15,6,'05_MILESTONES'!$M$5:$M$34/('05_MILESTONES'!$B$5:$B$34=$C28),1)),"")</f>
        <v/>
      </c>
      <c r="V28" s="65">
        <f>IF(C28="","",IF(M28="Completed","Closed",IF(M28="Cancelled","N/A",IF(N28="Red","Critical",IF(OR(N28="Yellow",AND(Q28&lt;&gt;"",O28&lt;&gt;"",Q28&gt;O28),AND(R28&lt;&gt;"",R28&gt;7)),"Needs Attention","Healthy")))))</f>
        <v/>
      </c>
      <c r="W28" s="66" t="n"/>
      <c r="X28" s="70" t="n"/>
      <c r="Y28" s="69">
        <f>IF(C28="","",COUNTIF($C$5:$C28,"?*"))</f>
        <v/>
      </c>
      <c r="Z28" s="69">
        <f>IF(OR(C28="",N28&lt;&gt;"Red"),"",COUNTIF($N$5:$N$34,"Red")-COUNTIF($N$5:$N28,"Red")+1)</f>
        <v/>
      </c>
      <c r="AA28" s="69">
        <f>IF(C28="","",IF(AND(OR('01_EXECUTIVE_DASHBOARD'!$C$42="All",'01_EXECUTIVE_DASHBOARD'!$C$42=$M28),OR('01_EXECUTIVE_DASHBOARD'!$F$42="All",'01_EXECUTIVE_DASHBOARD'!$F$42=$N28),OR('01_EXECUTIVE_DASHBOARD'!$I$42="All",'01_EXECUTIVE_DASHBOARD'!$I$42=$D28)),SUMPRODUCT(($C$5:$C28&lt;&gt;"")*((('01_EXECUTIVE_DASHBOARD'!$C$42="All")+($M$5:$M28='01_EXECUTIVE_DASHBOARD'!$C$42))&gt;0)*((('01_EXECUTIVE_DASHBOARD'!$F$42="All")+($N$5:$N28='01_EXECUTIVE_DASHBOARD'!$F$42))&gt;0)*((('01_EXECUTIVE_DASHBOARD'!$I$42="All")+($D$5:$D28='01_EXECUTIVE_DASHBOARD'!$I$42))&gt;0)),""))</f>
        <v/>
      </c>
      <c r="AB28" s="65">
        <f>IF(C28="","",TEXT(H28,"dd-mmm-yy")&amp;" - "&amp;TEXT(IF(K28&lt;&gt;"",K28,J28),"dd-mmm-yy"))</f>
        <v/>
      </c>
      <c r="AC28" s="65">
        <f>IF(C28="","",TEXT(O28,"#,##0")&amp;" / "&amp;TEXT(P28,"#,##0"))</f>
        <v/>
      </c>
    </row>
    <row r="29" ht="28" customHeight="1">
      <c r="A29" s="65" t="n"/>
      <c r="B29" s="65" t="n"/>
      <c r="C29" s="65" t="n"/>
      <c r="D29" s="65" t="n"/>
      <c r="E29" s="65" t="n"/>
      <c r="F29" s="65" t="n"/>
      <c r="G29" s="65" t="n"/>
      <c r="H29" s="66" t="n"/>
      <c r="I29" s="66" t="n"/>
      <c r="J29" s="66" t="n"/>
      <c r="K29" s="66" t="n"/>
      <c r="L29" s="67" t="n"/>
      <c r="M29" s="65" t="n"/>
      <c r="N29" s="65" t="n"/>
      <c r="O29" s="68" t="n"/>
      <c r="P29" s="68" t="n"/>
      <c r="Q29" s="68" t="n"/>
      <c r="R29" s="69">
        <f>IF(OR(I29="",J29=""),"",J29-I29)</f>
        <v/>
      </c>
      <c r="S29" s="68">
        <f>IF(OR(O29="",P29=""),"",O29-P29)</f>
        <v/>
      </c>
      <c r="T29" s="65">
        <f>IFERROR(INDEX('05_MILESTONES'!$C$5:$C$34,MATCH(AGGREGATE(15,6,'05_MILESTONES'!$M$5:$M$34/('05_MILESTONES'!$B$5:$B$34=$C29),1),'05_MILESTONES'!$M$5:$M$34,0)),"")</f>
        <v/>
      </c>
      <c r="U29" s="66">
        <f>IFERROR(INT(AGGREGATE(15,6,'05_MILESTONES'!$M$5:$M$34/('05_MILESTONES'!$B$5:$B$34=$C29),1)),"")</f>
        <v/>
      </c>
      <c r="V29" s="65">
        <f>IF(C29="","",IF(M29="Completed","Closed",IF(M29="Cancelled","N/A",IF(N29="Red","Critical",IF(OR(N29="Yellow",AND(Q29&lt;&gt;"",O29&lt;&gt;"",Q29&gt;O29),AND(R29&lt;&gt;"",R29&gt;7)),"Needs Attention","Healthy")))))</f>
        <v/>
      </c>
      <c r="W29" s="66" t="n"/>
      <c r="X29" s="70" t="n"/>
      <c r="Y29" s="69">
        <f>IF(C29="","",COUNTIF($C$5:$C29,"?*"))</f>
        <v/>
      </c>
      <c r="Z29" s="69">
        <f>IF(OR(C29="",N29&lt;&gt;"Red"),"",COUNTIF($N$5:$N$34,"Red")-COUNTIF($N$5:$N29,"Red")+1)</f>
        <v/>
      </c>
      <c r="AA29" s="69">
        <f>IF(C29="","",IF(AND(OR('01_EXECUTIVE_DASHBOARD'!$C$42="All",'01_EXECUTIVE_DASHBOARD'!$C$42=$M29),OR('01_EXECUTIVE_DASHBOARD'!$F$42="All",'01_EXECUTIVE_DASHBOARD'!$F$42=$N29),OR('01_EXECUTIVE_DASHBOARD'!$I$42="All",'01_EXECUTIVE_DASHBOARD'!$I$42=$D29)),SUMPRODUCT(($C$5:$C29&lt;&gt;"")*((('01_EXECUTIVE_DASHBOARD'!$C$42="All")+($M$5:$M29='01_EXECUTIVE_DASHBOARD'!$C$42))&gt;0)*((('01_EXECUTIVE_DASHBOARD'!$F$42="All")+($N$5:$N29='01_EXECUTIVE_DASHBOARD'!$F$42))&gt;0)*((('01_EXECUTIVE_DASHBOARD'!$I$42="All")+($D$5:$D29='01_EXECUTIVE_DASHBOARD'!$I$42))&gt;0)),""))</f>
        <v/>
      </c>
      <c r="AB29" s="65">
        <f>IF(C29="","",TEXT(H29,"dd-mmm-yy")&amp;" - "&amp;TEXT(IF(K29&lt;&gt;"",K29,J29),"dd-mmm-yy"))</f>
        <v/>
      </c>
      <c r="AC29" s="65">
        <f>IF(C29="","",TEXT(O29,"#,##0")&amp;" / "&amp;TEXT(P29,"#,##0"))</f>
        <v/>
      </c>
    </row>
    <row r="30" ht="28" customHeight="1">
      <c r="A30" s="65" t="n"/>
      <c r="B30" s="65" t="n"/>
      <c r="C30" s="65" t="n"/>
      <c r="D30" s="65" t="n"/>
      <c r="E30" s="65" t="n"/>
      <c r="F30" s="65" t="n"/>
      <c r="G30" s="65" t="n"/>
      <c r="H30" s="66" t="n"/>
      <c r="I30" s="66" t="n"/>
      <c r="J30" s="66" t="n"/>
      <c r="K30" s="66" t="n"/>
      <c r="L30" s="67" t="n"/>
      <c r="M30" s="65" t="n"/>
      <c r="N30" s="65" t="n"/>
      <c r="O30" s="68" t="n"/>
      <c r="P30" s="68" t="n"/>
      <c r="Q30" s="68" t="n"/>
      <c r="R30" s="69">
        <f>IF(OR(I30="",J30=""),"",J30-I30)</f>
        <v/>
      </c>
      <c r="S30" s="68">
        <f>IF(OR(O30="",P30=""),"",O30-P30)</f>
        <v/>
      </c>
      <c r="T30" s="65">
        <f>IFERROR(INDEX('05_MILESTONES'!$C$5:$C$34,MATCH(AGGREGATE(15,6,'05_MILESTONES'!$M$5:$M$34/('05_MILESTONES'!$B$5:$B$34=$C30),1),'05_MILESTONES'!$M$5:$M$34,0)),"")</f>
        <v/>
      </c>
      <c r="U30" s="66">
        <f>IFERROR(INT(AGGREGATE(15,6,'05_MILESTONES'!$M$5:$M$34/('05_MILESTONES'!$B$5:$B$34=$C30),1)),"")</f>
        <v/>
      </c>
      <c r="V30" s="65">
        <f>IF(C30="","",IF(M30="Completed","Closed",IF(M30="Cancelled","N/A",IF(N30="Red","Critical",IF(OR(N30="Yellow",AND(Q30&lt;&gt;"",O30&lt;&gt;"",Q30&gt;O30),AND(R30&lt;&gt;"",R30&gt;7)),"Needs Attention","Healthy")))))</f>
        <v/>
      </c>
      <c r="W30" s="66" t="n"/>
      <c r="X30" s="70" t="n"/>
      <c r="Y30" s="69">
        <f>IF(C30="","",COUNTIF($C$5:$C30,"?*"))</f>
        <v/>
      </c>
      <c r="Z30" s="69">
        <f>IF(OR(C30="",N30&lt;&gt;"Red"),"",COUNTIF($N$5:$N$34,"Red")-COUNTIF($N$5:$N30,"Red")+1)</f>
        <v/>
      </c>
      <c r="AA30" s="69">
        <f>IF(C30="","",IF(AND(OR('01_EXECUTIVE_DASHBOARD'!$C$42="All",'01_EXECUTIVE_DASHBOARD'!$C$42=$M30),OR('01_EXECUTIVE_DASHBOARD'!$F$42="All",'01_EXECUTIVE_DASHBOARD'!$F$42=$N30),OR('01_EXECUTIVE_DASHBOARD'!$I$42="All",'01_EXECUTIVE_DASHBOARD'!$I$42=$D30)),SUMPRODUCT(($C$5:$C30&lt;&gt;"")*((('01_EXECUTIVE_DASHBOARD'!$C$42="All")+($M$5:$M30='01_EXECUTIVE_DASHBOARD'!$C$42))&gt;0)*((('01_EXECUTIVE_DASHBOARD'!$F$42="All")+($N$5:$N30='01_EXECUTIVE_DASHBOARD'!$F$42))&gt;0)*((('01_EXECUTIVE_DASHBOARD'!$I$42="All")+($D$5:$D30='01_EXECUTIVE_DASHBOARD'!$I$42))&gt;0)),""))</f>
        <v/>
      </c>
      <c r="AB30" s="65">
        <f>IF(C30="","",TEXT(H30,"dd-mmm-yy")&amp;" - "&amp;TEXT(IF(K30&lt;&gt;"",K30,J30),"dd-mmm-yy"))</f>
        <v/>
      </c>
      <c r="AC30" s="65">
        <f>IF(C30="","",TEXT(O30,"#,##0")&amp;" / "&amp;TEXT(P30,"#,##0"))</f>
        <v/>
      </c>
    </row>
    <row r="31" ht="28" customHeight="1">
      <c r="A31" s="65" t="n"/>
      <c r="B31" s="65" t="n"/>
      <c r="C31" s="65" t="n"/>
      <c r="D31" s="65" t="n"/>
      <c r="E31" s="65" t="n"/>
      <c r="F31" s="65" t="n"/>
      <c r="G31" s="65" t="n"/>
      <c r="H31" s="66" t="n"/>
      <c r="I31" s="66" t="n"/>
      <c r="J31" s="66" t="n"/>
      <c r="K31" s="66" t="n"/>
      <c r="L31" s="67" t="n"/>
      <c r="M31" s="65" t="n"/>
      <c r="N31" s="65" t="n"/>
      <c r="O31" s="68" t="n"/>
      <c r="P31" s="68" t="n"/>
      <c r="Q31" s="68" t="n"/>
      <c r="R31" s="69">
        <f>IF(OR(I31="",J31=""),"",J31-I31)</f>
        <v/>
      </c>
      <c r="S31" s="68">
        <f>IF(OR(O31="",P31=""),"",O31-P31)</f>
        <v/>
      </c>
      <c r="T31" s="65">
        <f>IFERROR(INDEX('05_MILESTONES'!$C$5:$C$34,MATCH(AGGREGATE(15,6,'05_MILESTONES'!$M$5:$M$34/('05_MILESTONES'!$B$5:$B$34=$C31),1),'05_MILESTONES'!$M$5:$M$34,0)),"")</f>
        <v/>
      </c>
      <c r="U31" s="66">
        <f>IFERROR(INT(AGGREGATE(15,6,'05_MILESTONES'!$M$5:$M$34/('05_MILESTONES'!$B$5:$B$34=$C31),1)),"")</f>
        <v/>
      </c>
      <c r="V31" s="65">
        <f>IF(C31="","",IF(M31="Completed","Closed",IF(M31="Cancelled","N/A",IF(N31="Red","Critical",IF(OR(N31="Yellow",AND(Q31&lt;&gt;"",O31&lt;&gt;"",Q31&gt;O31),AND(R31&lt;&gt;"",R31&gt;7)),"Needs Attention","Healthy")))))</f>
        <v/>
      </c>
      <c r="W31" s="66" t="n"/>
      <c r="X31" s="70" t="n"/>
      <c r="Y31" s="69">
        <f>IF(C31="","",COUNTIF($C$5:$C31,"?*"))</f>
        <v/>
      </c>
      <c r="Z31" s="69">
        <f>IF(OR(C31="",N31&lt;&gt;"Red"),"",COUNTIF($N$5:$N$34,"Red")-COUNTIF($N$5:$N31,"Red")+1)</f>
        <v/>
      </c>
      <c r="AA31" s="69">
        <f>IF(C31="","",IF(AND(OR('01_EXECUTIVE_DASHBOARD'!$C$42="All",'01_EXECUTIVE_DASHBOARD'!$C$42=$M31),OR('01_EXECUTIVE_DASHBOARD'!$F$42="All",'01_EXECUTIVE_DASHBOARD'!$F$42=$N31),OR('01_EXECUTIVE_DASHBOARD'!$I$42="All",'01_EXECUTIVE_DASHBOARD'!$I$42=$D31)),SUMPRODUCT(($C$5:$C31&lt;&gt;"")*((('01_EXECUTIVE_DASHBOARD'!$C$42="All")+($M$5:$M31='01_EXECUTIVE_DASHBOARD'!$C$42))&gt;0)*((('01_EXECUTIVE_DASHBOARD'!$F$42="All")+($N$5:$N31='01_EXECUTIVE_DASHBOARD'!$F$42))&gt;0)*((('01_EXECUTIVE_DASHBOARD'!$I$42="All")+($D$5:$D31='01_EXECUTIVE_DASHBOARD'!$I$42))&gt;0)),""))</f>
        <v/>
      </c>
      <c r="AB31" s="65">
        <f>IF(C31="","",TEXT(H31,"dd-mmm-yy")&amp;" - "&amp;TEXT(IF(K31&lt;&gt;"",K31,J31),"dd-mmm-yy"))</f>
        <v/>
      </c>
      <c r="AC31" s="65">
        <f>IF(C31="","",TEXT(O31,"#,##0")&amp;" / "&amp;TEXT(P31,"#,##0"))</f>
        <v/>
      </c>
    </row>
    <row r="32" ht="28" customHeight="1">
      <c r="A32" s="65" t="n"/>
      <c r="B32" s="65" t="n"/>
      <c r="C32" s="65" t="n"/>
      <c r="D32" s="65" t="n"/>
      <c r="E32" s="65" t="n"/>
      <c r="F32" s="65" t="n"/>
      <c r="G32" s="65" t="n"/>
      <c r="H32" s="66" t="n"/>
      <c r="I32" s="66" t="n"/>
      <c r="J32" s="66" t="n"/>
      <c r="K32" s="66" t="n"/>
      <c r="L32" s="67" t="n"/>
      <c r="M32" s="65" t="n"/>
      <c r="N32" s="65" t="n"/>
      <c r="O32" s="68" t="n"/>
      <c r="P32" s="68" t="n"/>
      <c r="Q32" s="68" t="n"/>
      <c r="R32" s="69">
        <f>IF(OR(I32="",J32=""),"",J32-I32)</f>
        <v/>
      </c>
      <c r="S32" s="68">
        <f>IF(OR(O32="",P32=""),"",O32-P32)</f>
        <v/>
      </c>
      <c r="T32" s="65">
        <f>IFERROR(INDEX('05_MILESTONES'!$C$5:$C$34,MATCH(AGGREGATE(15,6,'05_MILESTONES'!$M$5:$M$34/('05_MILESTONES'!$B$5:$B$34=$C32),1),'05_MILESTONES'!$M$5:$M$34,0)),"")</f>
        <v/>
      </c>
      <c r="U32" s="66">
        <f>IFERROR(INT(AGGREGATE(15,6,'05_MILESTONES'!$M$5:$M$34/('05_MILESTONES'!$B$5:$B$34=$C32),1)),"")</f>
        <v/>
      </c>
      <c r="V32" s="65">
        <f>IF(C32="","",IF(M32="Completed","Closed",IF(M32="Cancelled","N/A",IF(N32="Red","Critical",IF(OR(N32="Yellow",AND(Q32&lt;&gt;"",O32&lt;&gt;"",Q32&gt;O32),AND(R32&lt;&gt;"",R32&gt;7)),"Needs Attention","Healthy")))))</f>
        <v/>
      </c>
      <c r="W32" s="66" t="n"/>
      <c r="X32" s="70" t="n"/>
      <c r="Y32" s="69">
        <f>IF(C32="","",COUNTIF($C$5:$C32,"?*"))</f>
        <v/>
      </c>
      <c r="Z32" s="69">
        <f>IF(OR(C32="",N32&lt;&gt;"Red"),"",COUNTIF($N$5:$N$34,"Red")-COUNTIF($N$5:$N32,"Red")+1)</f>
        <v/>
      </c>
      <c r="AA32" s="69">
        <f>IF(C32="","",IF(AND(OR('01_EXECUTIVE_DASHBOARD'!$C$42="All",'01_EXECUTIVE_DASHBOARD'!$C$42=$M32),OR('01_EXECUTIVE_DASHBOARD'!$F$42="All",'01_EXECUTIVE_DASHBOARD'!$F$42=$N32),OR('01_EXECUTIVE_DASHBOARD'!$I$42="All",'01_EXECUTIVE_DASHBOARD'!$I$42=$D32)),SUMPRODUCT(($C$5:$C32&lt;&gt;"")*((('01_EXECUTIVE_DASHBOARD'!$C$42="All")+($M$5:$M32='01_EXECUTIVE_DASHBOARD'!$C$42))&gt;0)*((('01_EXECUTIVE_DASHBOARD'!$F$42="All")+($N$5:$N32='01_EXECUTIVE_DASHBOARD'!$F$42))&gt;0)*((('01_EXECUTIVE_DASHBOARD'!$I$42="All")+($D$5:$D32='01_EXECUTIVE_DASHBOARD'!$I$42))&gt;0)),""))</f>
        <v/>
      </c>
      <c r="AB32" s="65">
        <f>IF(C32="","",TEXT(H32,"dd-mmm-yy")&amp;" - "&amp;TEXT(IF(K32&lt;&gt;"",K32,J32),"dd-mmm-yy"))</f>
        <v/>
      </c>
      <c r="AC32" s="65">
        <f>IF(C32="","",TEXT(O32,"#,##0")&amp;" / "&amp;TEXT(P32,"#,##0"))</f>
        <v/>
      </c>
    </row>
    <row r="33" ht="28" customHeight="1">
      <c r="A33" s="65" t="n"/>
      <c r="B33" s="65" t="n"/>
      <c r="C33" s="65" t="n"/>
      <c r="D33" s="65" t="n"/>
      <c r="E33" s="65" t="n"/>
      <c r="F33" s="65" t="n"/>
      <c r="G33" s="65" t="n"/>
      <c r="H33" s="66" t="n"/>
      <c r="I33" s="66" t="n"/>
      <c r="J33" s="66" t="n"/>
      <c r="K33" s="66" t="n"/>
      <c r="L33" s="67" t="n"/>
      <c r="M33" s="65" t="n"/>
      <c r="N33" s="65" t="n"/>
      <c r="O33" s="68" t="n"/>
      <c r="P33" s="68" t="n"/>
      <c r="Q33" s="68" t="n"/>
      <c r="R33" s="69">
        <f>IF(OR(I33="",J33=""),"",J33-I33)</f>
        <v/>
      </c>
      <c r="S33" s="68">
        <f>IF(OR(O33="",P33=""),"",O33-P33)</f>
        <v/>
      </c>
      <c r="T33" s="65">
        <f>IFERROR(INDEX('05_MILESTONES'!$C$5:$C$34,MATCH(AGGREGATE(15,6,'05_MILESTONES'!$M$5:$M$34/('05_MILESTONES'!$B$5:$B$34=$C33),1),'05_MILESTONES'!$M$5:$M$34,0)),"")</f>
        <v/>
      </c>
      <c r="U33" s="66">
        <f>IFERROR(INT(AGGREGATE(15,6,'05_MILESTONES'!$M$5:$M$34/('05_MILESTONES'!$B$5:$B$34=$C33),1)),"")</f>
        <v/>
      </c>
      <c r="V33" s="65">
        <f>IF(C33="","",IF(M33="Completed","Closed",IF(M33="Cancelled","N/A",IF(N33="Red","Critical",IF(OR(N33="Yellow",AND(Q33&lt;&gt;"",O33&lt;&gt;"",Q33&gt;O33),AND(R33&lt;&gt;"",R33&gt;7)),"Needs Attention","Healthy")))))</f>
        <v/>
      </c>
      <c r="W33" s="66" t="n"/>
      <c r="X33" s="70" t="n"/>
      <c r="Y33" s="69">
        <f>IF(C33="","",COUNTIF($C$5:$C33,"?*"))</f>
        <v/>
      </c>
      <c r="Z33" s="69">
        <f>IF(OR(C33="",N33&lt;&gt;"Red"),"",COUNTIF($N$5:$N$34,"Red")-COUNTIF($N$5:$N33,"Red")+1)</f>
        <v/>
      </c>
      <c r="AA33" s="69">
        <f>IF(C33="","",IF(AND(OR('01_EXECUTIVE_DASHBOARD'!$C$42="All",'01_EXECUTIVE_DASHBOARD'!$C$42=$M33),OR('01_EXECUTIVE_DASHBOARD'!$F$42="All",'01_EXECUTIVE_DASHBOARD'!$F$42=$N33),OR('01_EXECUTIVE_DASHBOARD'!$I$42="All",'01_EXECUTIVE_DASHBOARD'!$I$42=$D33)),SUMPRODUCT(($C$5:$C33&lt;&gt;"")*((('01_EXECUTIVE_DASHBOARD'!$C$42="All")+($M$5:$M33='01_EXECUTIVE_DASHBOARD'!$C$42))&gt;0)*((('01_EXECUTIVE_DASHBOARD'!$F$42="All")+($N$5:$N33='01_EXECUTIVE_DASHBOARD'!$F$42))&gt;0)*((('01_EXECUTIVE_DASHBOARD'!$I$42="All")+($D$5:$D33='01_EXECUTIVE_DASHBOARD'!$I$42))&gt;0)),""))</f>
        <v/>
      </c>
      <c r="AB33" s="65">
        <f>IF(C33="","",TEXT(H33,"dd-mmm-yy")&amp;" - "&amp;TEXT(IF(K33&lt;&gt;"",K33,J33),"dd-mmm-yy"))</f>
        <v/>
      </c>
      <c r="AC33" s="65">
        <f>IF(C33="","",TEXT(O33,"#,##0")&amp;" / "&amp;TEXT(P33,"#,##0"))</f>
        <v/>
      </c>
    </row>
    <row r="34" ht="28" customHeight="1">
      <c r="A34" s="65" t="n"/>
      <c r="B34" s="65" t="n"/>
      <c r="C34" s="65" t="n"/>
      <c r="D34" s="65" t="n"/>
      <c r="E34" s="65" t="n"/>
      <c r="F34" s="65" t="n"/>
      <c r="G34" s="65" t="n"/>
      <c r="H34" s="66" t="n"/>
      <c r="I34" s="66" t="n"/>
      <c r="J34" s="66" t="n"/>
      <c r="K34" s="66" t="n"/>
      <c r="L34" s="67" t="n"/>
      <c r="M34" s="65" t="n"/>
      <c r="N34" s="65" t="n"/>
      <c r="O34" s="68" t="n"/>
      <c r="P34" s="68" t="n"/>
      <c r="Q34" s="68" t="n"/>
      <c r="R34" s="69">
        <f>IF(OR(I34="",J34=""),"",J34-I34)</f>
        <v/>
      </c>
      <c r="S34" s="68">
        <f>IF(OR(O34="",P34=""),"",O34-P34)</f>
        <v/>
      </c>
      <c r="T34" s="65">
        <f>IFERROR(INDEX('05_MILESTONES'!$C$5:$C$34,MATCH(AGGREGATE(15,6,'05_MILESTONES'!$M$5:$M$34/('05_MILESTONES'!$B$5:$B$34=$C34),1),'05_MILESTONES'!$M$5:$M$34,0)),"")</f>
        <v/>
      </c>
      <c r="U34" s="66">
        <f>IFERROR(INT(AGGREGATE(15,6,'05_MILESTONES'!$M$5:$M$34/('05_MILESTONES'!$B$5:$B$34=$C34),1)),"")</f>
        <v/>
      </c>
      <c r="V34" s="65">
        <f>IF(C34="","",IF(M34="Completed","Closed",IF(M34="Cancelled","N/A",IF(N34="Red","Critical",IF(OR(N34="Yellow",AND(Q34&lt;&gt;"",O34&lt;&gt;"",Q34&gt;O34),AND(R34&lt;&gt;"",R34&gt;7)),"Needs Attention","Healthy")))))</f>
        <v/>
      </c>
      <c r="W34" s="66" t="n"/>
      <c r="X34" s="70" t="n"/>
      <c r="Y34" s="69">
        <f>IF(C34="","",COUNTIF($C$5:$C34,"?*"))</f>
        <v/>
      </c>
      <c r="Z34" s="69">
        <f>IF(OR(C34="",N34&lt;&gt;"Red"),"",COUNTIF($N$5:$N$34,"Red")-COUNTIF($N$5:$N34,"Red")+1)</f>
        <v/>
      </c>
      <c r="AA34" s="69">
        <f>IF(C34="","",IF(AND(OR('01_EXECUTIVE_DASHBOARD'!$C$42="All",'01_EXECUTIVE_DASHBOARD'!$C$42=$M34),OR('01_EXECUTIVE_DASHBOARD'!$F$42="All",'01_EXECUTIVE_DASHBOARD'!$F$42=$N34),OR('01_EXECUTIVE_DASHBOARD'!$I$42="All",'01_EXECUTIVE_DASHBOARD'!$I$42=$D34)),SUMPRODUCT(($C$5:$C34&lt;&gt;"")*((('01_EXECUTIVE_DASHBOARD'!$C$42="All")+($M$5:$M34='01_EXECUTIVE_DASHBOARD'!$C$42))&gt;0)*((('01_EXECUTIVE_DASHBOARD'!$F$42="All")+($N$5:$N34='01_EXECUTIVE_DASHBOARD'!$F$42))&gt;0)*((('01_EXECUTIVE_DASHBOARD'!$I$42="All")+($D$5:$D34='01_EXECUTIVE_DASHBOARD'!$I$42))&gt;0)),""))</f>
        <v/>
      </c>
      <c r="AB34" s="65">
        <f>IF(C34="","",TEXT(H34,"dd-mmm-yy")&amp;" - "&amp;TEXT(IF(K34&lt;&gt;"",K34,J34),"dd-mmm-yy"))</f>
        <v/>
      </c>
      <c r="AC34" s="65">
        <f>IF(C34="","",TEXT(O34,"#,##0")&amp;" / "&amp;TEXT(P34,"#,##0"))</f>
        <v/>
      </c>
    </row>
  </sheetData>
  <mergeCells count="3">
    <mergeCell ref="A3:AC3"/>
    <mergeCell ref="A2:AC2"/>
    <mergeCell ref="A1:AC1"/>
  </mergeCells>
  <conditionalFormatting sqref="N5:N34">
    <cfRule type="expression" priority="1" dxfId="3" stopIfTrue="1">
      <formula>EXACT($N5,"Green")</formula>
    </cfRule>
    <cfRule type="expression" priority="2" dxfId="4" stopIfTrue="1">
      <formula>EXACT($N5,"Yellow")</formula>
    </cfRule>
    <cfRule type="expression" priority="3" dxfId="5" stopIfTrue="1">
      <formula>EXACT($N5,"Red")</formula>
    </cfRule>
  </conditionalFormatting>
  <conditionalFormatting sqref="M5:M34">
    <cfRule type="expression" priority="4" dxfId="3" stopIfTrue="1">
      <formula>EXACT($M5,"Active")</formula>
    </cfRule>
    <cfRule type="expression" priority="5" dxfId="8" stopIfTrue="1">
      <formula>EXACT($M5,"Completed")</formula>
    </cfRule>
    <cfRule type="expression" priority="6" dxfId="4" stopIfTrue="1">
      <formula>EXACT($M5,"On Hold")</formula>
    </cfRule>
    <cfRule type="expression" priority="7" dxfId="8" stopIfTrue="1">
      <formula>EXACT($M5,"Not Started")</formula>
    </cfRule>
    <cfRule type="expression" priority="8" dxfId="5" stopIfTrue="1">
      <formula>EXACT($M5,"Cancelled")</formula>
    </cfRule>
  </conditionalFormatting>
  <conditionalFormatting sqref="V5:V34">
    <cfRule type="expression" priority="9" dxfId="3" stopIfTrue="1">
      <formula>EXACT($V5,"Healthy")</formula>
    </cfRule>
    <cfRule type="expression" priority="10" dxfId="4" stopIfTrue="1">
      <formula>EXACT($V5,"Needs Attention")</formula>
    </cfRule>
    <cfRule type="expression" priority="11" dxfId="5" stopIfTrue="1">
      <formula>EXACT($V5,"Critical")</formula>
    </cfRule>
    <cfRule type="expression" priority="12" dxfId="8" stopIfTrue="1">
      <formula>EXACT($V5,"Closed")</formula>
    </cfRule>
    <cfRule type="expression" priority="13" dxfId="8" stopIfTrue="1">
      <formula>EXACT($V5,"N/A")</formula>
    </cfRule>
  </conditionalFormatting>
  <conditionalFormatting sqref="L5:L34">
    <cfRule type="dataBar" priority="14">
      <dataBar>
        <cfvo type="num" val="0"/>
        <cfvo type="num" val="1"/>
        <color rgb="002E75B6"/>
      </dataBar>
    </cfRule>
  </conditionalFormatting>
  <conditionalFormatting sqref="R5:R34">
    <cfRule type="expression" priority="15" dxfId="5" stopIfTrue="0">
      <formula>AND(ISNUMBER($R5),$R5&gt;7)</formula>
    </cfRule>
  </conditionalFormatting>
  <conditionalFormatting sqref="S5:S34">
    <cfRule type="expression" priority="16" dxfId="5" stopIfTrue="0">
      <formula>AND(ISNUMBER($S5),$S5&lt;0)</formula>
    </cfRule>
  </conditionalFormatting>
  <conditionalFormatting sqref="A5:A34">
    <cfRule type="expression" priority="17" dxfId="5" stopIfTrue="0">
      <formula>AND($A5&lt;&gt;"",COUNTIF($A$5:$A$34,$A5)&gt;1)</formula>
    </cfRule>
  </conditionalFormatting>
  <conditionalFormatting sqref="D5:D34">
    <cfRule type="expression" priority="18" dxfId="4" stopIfTrue="0">
      <formula>AND($A5&lt;&gt;"",D5="")</formula>
    </cfRule>
  </conditionalFormatting>
  <conditionalFormatting sqref="I5:I34">
    <cfRule type="expression" priority="19" dxfId="4" stopIfTrue="0">
      <formula>AND($A5&lt;&gt;"",I5="")</formula>
    </cfRule>
  </conditionalFormatting>
  <dataValidations count="7">
    <dataValidation sqref="B5:B34" showDropDown="0" showInputMessage="1" showErrorMessage="1" allowBlank="1" errorTitle="Value not allowed" error="Pick a value from the drop-down list (L_Customers)." promptTitle="Select" prompt="Choose a value from the drop-down list." type="list" errorStyle="stop">
      <formula1>L_Customers</formula1>
    </dataValidation>
    <dataValidation sqref="D5:D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E5:E34" showDropDown="0" showInputMessage="1" showErrorMessage="1" allowBlank="1" errorTitle="Value not allowed" error="Pick a value from the drop-down list (L_Dept)." promptTitle="Select" prompt="Choose a value from the drop-down list." type="list" errorStyle="stop">
      <formula1>L_Dept</formula1>
    </dataValidation>
    <dataValidation sqref="F5:F34" showDropDown="0" showInputMessage="1" showErrorMessage="1" allowBlank="1" errorTitle="Value not allowed" error="Pick a value from the drop-down list (L_ProjType)." promptTitle="Select" prompt="Choose a value from the drop-down list." type="list" errorStyle="stop">
      <formula1>L_ProjType</formula1>
    </dataValidation>
    <dataValidation sqref="G5:G34" showDropDown="0" showInputMessage="1" showErrorMessage="1" allowBlank="1" errorTitle="Value not allowed" error="Pick a value from the drop-down list (L_Priority)." promptTitle="Select" prompt="Choose a value from the drop-down list." type="list" errorStyle="stop">
      <formula1>L_Priority</formula1>
    </dataValidation>
    <dataValidation sqref="M5:M34" showDropDown="0" showInputMessage="1" showErrorMessage="1" allowBlank="1" errorTitle="Value not allowed" error="Pick a value from the drop-down list (L_Status)." promptTitle="Select" prompt="Choose a value from the drop-down list." type="list" errorStyle="stop">
      <formula1>L_Status</formula1>
    </dataValidation>
    <dataValidation sqref="N5:N34" showDropDown="0" showInputMessage="1" showErrorMessage="1" allowBlank="1" errorTitle="Value not allowed" error="Pick a value from the drop-down list (L_RAG)." promptTitle="Select" prompt="Choose a value from the drop-down list." type="list" errorStyle="stop">
      <formula1>L_RAG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D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34" customWidth="1" min="3" max="3"/>
    <col width="28" customWidth="1" min="4" max="4"/>
  </cols>
  <sheetData>
    <row r="1" ht="32" customHeight="1">
      <c r="A1" s="1" t="inlineStr">
        <is>
          <t>PROJECT CHARTER</t>
        </is>
      </c>
    </row>
    <row r="2" ht="17" customHeight="1">
      <c r="A2" s="2" t="inlineStr">
        <is>
          <t>One-page authorisation document for a single project. Choose the project and the identification block fills itself; the business case, scope and approvals are yours to write.</t>
        </is>
      </c>
    </row>
    <row r="3" ht="15" customHeight="1">
      <c r="A3" s="3" t="inlineStr">
        <is>
          <t>Grey cells are automatic (from 02_PROJECT_PORTFOLIO and 06_RAID_LOG). White cells are for you. Print landscape, one page.</t>
        </is>
      </c>
    </row>
    <row r="4" ht="20" customHeight="1">
      <c r="A4" s="6" t="inlineStr">
        <is>
          <t>SELECT A PROJECT - THE IDENTIFICATION BLOCK BELOW FILLS ITSELF</t>
        </is>
      </c>
    </row>
    <row r="5" ht="24" customHeight="1">
      <c r="A5" s="71" t="inlineStr">
        <is>
          <t>PROJECT</t>
        </is>
      </c>
      <c r="B5" s="51" t="inlineStr">
        <is>
          <t>ERP Implementation</t>
        </is>
      </c>
      <c r="C5" s="52" t="n"/>
      <c r="D5" s="52" t="n"/>
    </row>
    <row r="6" ht="16" customHeight="1">
      <c r="A6" s="3" t="inlineStr">
        <is>
          <t>LEGEND:   grey cells = automatic from the registers   |   white cells = type here</t>
        </is>
      </c>
      <c r="B6" s="54" t="n"/>
      <c r="C6" s="54" t="n"/>
      <c r="D6" s="54" t="n"/>
    </row>
    <row r="7" ht="20" customHeight="1">
      <c r="A7" s="6" t="inlineStr">
        <is>
          <t>1.  PROJECT IDENTIFICATION  (AUTOMATIC)</t>
        </is>
      </c>
    </row>
    <row r="8">
      <c r="A8" s="71" t="inlineStr">
        <is>
          <t>Project ID</t>
        </is>
      </c>
      <c r="B8" s="18">
        <f>IFERROR(INDEX('02_PROJECT_PORTFOLIO'!$A$5:$A$34,MATCH($B$5,'02_PROJECT_PORTFOLIO'!$C$5:$C$34,0)),"-")</f>
        <v/>
      </c>
      <c r="C8" s="16" t="n"/>
      <c r="D8" s="16" t="n"/>
    </row>
    <row r="9">
      <c r="A9" s="71" t="inlineStr">
        <is>
          <t>Customer</t>
        </is>
      </c>
      <c r="B9" s="18">
        <f>IFERROR(INDEX('02_PROJECT_PORTFOLIO'!$B$5:$B$34,MATCH($B$5,'02_PROJECT_PORTFOLIO'!$C$5:$C$34,0)),"-")</f>
        <v/>
      </c>
      <c r="C9" s="16" t="n"/>
      <c r="D9" s="16" t="n"/>
    </row>
    <row r="10">
      <c r="A10" s="71" t="inlineStr">
        <is>
          <t>Project Manager</t>
        </is>
      </c>
      <c r="B10" s="18">
        <f>IFERROR(INDEX('02_PROJECT_PORTFOLIO'!$D$5:$D$34,MATCH($B$5,'02_PROJECT_PORTFOLIO'!$C$5:$C$34,0)),"-")</f>
        <v/>
      </c>
      <c r="C10" s="16" t="n"/>
      <c r="D10" s="16" t="n"/>
    </row>
    <row r="11">
      <c r="A11" s="71" t="inlineStr">
        <is>
          <t>Department</t>
        </is>
      </c>
      <c r="B11" s="18">
        <f>IFERROR(INDEX('02_PROJECT_PORTFOLIO'!$E$5:$E$34,MATCH($B$5,'02_PROJECT_PORTFOLIO'!$C$5:$C$34,0)),"-")</f>
        <v/>
      </c>
      <c r="C11" s="16" t="n"/>
      <c r="D11" s="16" t="n"/>
    </row>
    <row r="12">
      <c r="A12" s="71" t="inlineStr">
        <is>
          <t>Project Type</t>
        </is>
      </c>
      <c r="B12" s="18">
        <f>IFERROR(INDEX('02_PROJECT_PORTFOLIO'!$F$5:$F$34,MATCH($B$5,'02_PROJECT_PORTFOLIO'!$C$5:$C$34,0)),"-")</f>
        <v/>
      </c>
      <c r="C12" s="16" t="n"/>
      <c r="D12" s="16" t="n"/>
    </row>
    <row r="13">
      <c r="A13" s="71" t="inlineStr">
        <is>
          <t>Priority</t>
        </is>
      </c>
      <c r="B13" s="18">
        <f>IFERROR(INDEX('02_PROJECT_PORTFOLIO'!$G$5:$G$34,MATCH($B$5,'02_PROJECT_PORTFOLIO'!$C$5:$C$34,0)),"-")</f>
        <v/>
      </c>
      <c r="C13" s="16" t="n"/>
      <c r="D13" s="16" t="n"/>
    </row>
    <row r="14">
      <c r="A14" s="71" t="inlineStr">
        <is>
          <t>Start Date</t>
        </is>
      </c>
      <c r="B14" s="72">
        <f>IFERROR(INDEX('02_PROJECT_PORTFOLIO'!$H$5:$H$34,MATCH($B$5,'02_PROJECT_PORTFOLIO'!$C$5:$C$34,0)),"-")</f>
        <v/>
      </c>
      <c r="C14" s="16" t="n"/>
      <c r="D14" s="16" t="n"/>
    </row>
    <row r="15">
      <c r="A15" s="71" t="inlineStr">
        <is>
          <t>Baseline End Date</t>
        </is>
      </c>
      <c r="B15" s="72">
        <f>IFERROR(INDEX('02_PROJECT_PORTFOLIO'!$I$5:$I$34,MATCH($B$5,'02_PROJECT_PORTFOLIO'!$C$5:$C$34,0)),"-")</f>
        <v/>
      </c>
      <c r="C15" s="16" t="n"/>
      <c r="D15" s="16" t="n"/>
    </row>
    <row r="16">
      <c r="A16" s="71" t="inlineStr">
        <is>
          <t>Forecast End Date</t>
        </is>
      </c>
      <c r="B16" s="72">
        <f>IFERROR(INDEX('02_PROJECT_PORTFOLIO'!$J$5:$J$34,MATCH($B$5,'02_PROJECT_PORTFOLIO'!$C$5:$C$34,0)),"-")</f>
        <v/>
      </c>
      <c r="C16" s="16" t="n"/>
      <c r="D16" s="16" t="n"/>
    </row>
    <row r="17">
      <c r="A17" s="71" t="inlineStr">
        <is>
          <t>Total Approved Amount</t>
        </is>
      </c>
      <c r="B17" s="73">
        <f>IFERROR(INDEX('02_PROJECT_PORTFOLIO'!$O$5:$O$34,MATCH($B$5,'02_PROJECT_PORTFOLIO'!$C$5:$C$34,0)),"-")</f>
        <v/>
      </c>
      <c r="C17" s="16" t="n"/>
      <c r="D17" s="16" t="n"/>
    </row>
    <row r="18">
      <c r="A18" s="71" t="inlineStr">
        <is>
          <t>Actual Cost</t>
        </is>
      </c>
      <c r="B18" s="73">
        <f>IFERROR(INDEX('02_PROJECT_PORTFOLIO'!$P$5:$P$34,MATCH($B$5,'02_PROJECT_PORTFOLIO'!$C$5:$C$34,0)),"-")</f>
        <v/>
      </c>
      <c r="C18" s="16" t="n"/>
      <c r="D18" s="16" t="n"/>
    </row>
    <row r="19">
      <c r="A19" s="71" t="inlineStr">
        <is>
          <t>Status</t>
        </is>
      </c>
      <c r="B19" s="18">
        <f>IFERROR(INDEX('02_PROJECT_PORTFOLIO'!$M$5:$M$34,MATCH($B$5,'02_PROJECT_PORTFOLIO'!$C$5:$C$34,0)),"-")</f>
        <v/>
      </c>
      <c r="C19" s="16" t="n"/>
      <c r="D19" s="16" t="n"/>
    </row>
    <row r="20">
      <c r="A20" s="71" t="inlineStr">
        <is>
          <t>RAG</t>
        </is>
      </c>
      <c r="B20" s="18">
        <f>IFERROR(INDEX('02_PROJECT_PORTFOLIO'!$N$5:$N$34,MATCH($B$5,'02_PROJECT_PORTFOLIO'!$C$5:$C$34,0)),"-")</f>
        <v/>
      </c>
      <c r="C20" s="16" t="n"/>
      <c r="D20" s="16" t="n"/>
    </row>
    <row r="21" ht="20" customHeight="1">
      <c r="A21" s="6" t="inlineStr">
        <is>
          <t>2.  BUSINESS CASE  (TYPE HERE)</t>
        </is>
      </c>
    </row>
    <row r="22" ht="38" customHeight="1">
      <c r="A22" s="71" t="inlineStr">
        <is>
          <t>Problem / Opportunity</t>
        </is>
      </c>
      <c r="B22" s="74" t="n"/>
      <c r="C22" s="75" t="n"/>
      <c r="D22" s="75" t="n"/>
    </row>
    <row r="23" ht="38" customHeight="1">
      <c r="A23" s="71" t="inlineStr">
        <is>
          <t>Business Objective</t>
        </is>
      </c>
      <c r="B23" s="74" t="n"/>
      <c r="C23" s="75" t="n"/>
      <c r="D23" s="75" t="n"/>
    </row>
    <row r="24" ht="38" customHeight="1">
      <c r="A24" s="71" t="inlineStr">
        <is>
          <t>Expected Benefits</t>
        </is>
      </c>
      <c r="B24" s="74" t="n"/>
      <c r="C24" s="75" t="n"/>
      <c r="D24" s="75" t="n"/>
    </row>
    <row r="25" ht="38" customHeight="1">
      <c r="A25" s="71" t="inlineStr">
        <is>
          <t>Success Criteria</t>
        </is>
      </c>
      <c r="B25" s="74" t="n"/>
      <c r="C25" s="75" t="n"/>
      <c r="D25" s="75" t="n"/>
    </row>
    <row r="26" ht="20" customHeight="1">
      <c r="A26" s="6" t="inlineStr">
        <is>
          <t>3.  SCOPE  (TYPE HERE)</t>
        </is>
      </c>
    </row>
    <row r="27" ht="38" customHeight="1">
      <c r="A27" s="71" t="inlineStr">
        <is>
          <t>In Scope</t>
        </is>
      </c>
      <c r="B27" s="74" t="n"/>
      <c r="C27" s="75" t="n"/>
      <c r="D27" s="75" t="n"/>
    </row>
    <row r="28" ht="38" customHeight="1">
      <c r="A28" s="71" t="inlineStr">
        <is>
          <t>Out of Scope</t>
        </is>
      </c>
      <c r="B28" s="74" t="n"/>
      <c r="C28" s="75" t="n"/>
      <c r="D28" s="75" t="n"/>
    </row>
    <row r="29" ht="38" customHeight="1">
      <c r="A29" s="71" t="inlineStr">
        <is>
          <t>Key Deliverables</t>
        </is>
      </c>
      <c r="B29" s="74" t="n"/>
      <c r="C29" s="75" t="n"/>
      <c r="D29" s="75" t="n"/>
    </row>
    <row r="30" ht="20" customHeight="1">
      <c r="A30" s="6" t="inlineStr">
        <is>
          <t>4.  APPROACH &amp; GOVERNANCE</t>
        </is>
      </c>
    </row>
    <row r="31" ht="38" customHeight="1">
      <c r="A31" s="71" t="inlineStr">
        <is>
          <t>Delivery Approach</t>
        </is>
      </c>
      <c r="B31" s="74" t="n"/>
      <c r="C31" s="75" t="n"/>
      <c r="D31" s="75" t="n"/>
    </row>
    <row r="32" ht="38" customHeight="1">
      <c r="A32" s="71" t="inlineStr">
        <is>
          <t>Key Assumptions</t>
        </is>
      </c>
      <c r="B32" s="74" t="n"/>
      <c r="C32" s="75" t="n"/>
      <c r="D32" s="75" t="n"/>
    </row>
    <row r="33">
      <c r="A33" s="71" t="inlineStr">
        <is>
          <t>Top Open Risk (automatic)</t>
        </is>
      </c>
      <c r="B33" s="18">
        <f>IFERROR(INDEX('06_RAID_LOG'!$D$5:$D$34,MATCH("Risk|"&amp;$B$5&amp;"|1",'06_RAID_LOG'!$T$5:$T$34,0)),"No open risk recorded")</f>
        <v/>
      </c>
      <c r="C33" s="16" t="n"/>
      <c r="D33" s="16" t="n"/>
    </row>
    <row r="34" ht="38" customHeight="1">
      <c r="A34" s="71" t="inlineStr">
        <is>
          <t>Reporting &amp; Governance</t>
        </is>
      </c>
      <c r="B34" s="74" t="n"/>
      <c r="C34" s="75" t="n"/>
      <c r="D34" s="75" t="n"/>
    </row>
    <row r="35" ht="20" customHeight="1">
      <c r="A35" s="6" t="inlineStr">
        <is>
          <t>5.  APPROVALS  (TYPE HERE)</t>
        </is>
      </c>
    </row>
    <row r="36" ht="24" customHeight="1">
      <c r="A36" s="71" t="inlineStr">
        <is>
          <t>Prepared By</t>
        </is>
      </c>
      <c r="B36" s="74" t="n"/>
      <c r="C36" s="75" t="n"/>
      <c r="D36" s="75" t="n"/>
    </row>
    <row r="37" ht="24" customHeight="1">
      <c r="A37" s="71" t="inlineStr">
        <is>
          <t>Reviewed By</t>
        </is>
      </c>
      <c r="B37" s="74" t="n"/>
      <c r="C37" s="75" t="n"/>
      <c r="D37" s="75" t="n"/>
    </row>
    <row r="38" ht="24" customHeight="1">
      <c r="A38" s="71" t="inlineStr">
        <is>
          <t>Approved By</t>
        </is>
      </c>
      <c r="B38" s="74" t="n"/>
      <c r="C38" s="75" t="n"/>
      <c r="D38" s="75" t="n"/>
    </row>
    <row r="39" ht="24" customHeight="1">
      <c r="A39" s="71" t="inlineStr">
        <is>
          <t>Approval Date</t>
        </is>
      </c>
      <c r="B39" s="76" t="n"/>
      <c r="C39" s="75" t="n"/>
      <c r="D39" s="75" t="n"/>
    </row>
    <row r="40" ht="24" customHeight="1">
      <c r="A40" s="71" t="inlineStr">
        <is>
          <t>Signature</t>
        </is>
      </c>
      <c r="B40" s="74" t="n"/>
      <c r="C40" s="75" t="n"/>
      <c r="D40" s="75" t="n"/>
    </row>
  </sheetData>
  <mergeCells count="40">
    <mergeCell ref="B11:D11"/>
    <mergeCell ref="B14:D14"/>
    <mergeCell ref="B23:D23"/>
    <mergeCell ref="A35:D35"/>
    <mergeCell ref="A4:D4"/>
    <mergeCell ref="B8:D8"/>
    <mergeCell ref="B17:D17"/>
    <mergeCell ref="B13:D13"/>
    <mergeCell ref="B29:D29"/>
    <mergeCell ref="B38:D38"/>
    <mergeCell ref="B34:D34"/>
    <mergeCell ref="B10:D10"/>
    <mergeCell ref="B28:D28"/>
    <mergeCell ref="B19:D19"/>
    <mergeCell ref="B37:D37"/>
    <mergeCell ref="A30:D30"/>
    <mergeCell ref="B40:D40"/>
    <mergeCell ref="B9:D9"/>
    <mergeCell ref="B15:D15"/>
    <mergeCell ref="B24:D24"/>
    <mergeCell ref="B20:D20"/>
    <mergeCell ref="B33:D33"/>
    <mergeCell ref="A1:D1"/>
    <mergeCell ref="B5:D5"/>
    <mergeCell ref="B36:D36"/>
    <mergeCell ref="A6:D6"/>
    <mergeCell ref="B32:D32"/>
    <mergeCell ref="A7:D7"/>
    <mergeCell ref="B25:D25"/>
    <mergeCell ref="B16:D16"/>
    <mergeCell ref="B31:D31"/>
    <mergeCell ref="B22:D22"/>
    <mergeCell ref="A3:D3"/>
    <mergeCell ref="A21:D21"/>
    <mergeCell ref="A26:D26"/>
    <mergeCell ref="B18:D18"/>
    <mergeCell ref="B27:D27"/>
    <mergeCell ref="A2:D2"/>
    <mergeCell ref="B12:D12"/>
    <mergeCell ref="B39:D39"/>
  </mergeCells>
  <conditionalFormatting sqref="B20">
    <cfRule type="expression" priority="1" dxfId="3" stopIfTrue="1">
      <formula>EXACT($B20,"Green")</formula>
    </cfRule>
    <cfRule type="expression" priority="2" dxfId="4" stopIfTrue="1">
      <formula>EXACT($B20,"Yellow")</formula>
    </cfRule>
    <cfRule type="expression" priority="3" dxfId="5" stopIfTrue="1">
      <formula>EXACT($B20,"Red")</formula>
    </cfRule>
  </conditionalFormatting>
  <conditionalFormatting sqref="B19">
    <cfRule type="expression" priority="4" dxfId="3" stopIfTrue="1">
      <formula>EXACT($B19,"Active")</formula>
    </cfRule>
    <cfRule type="expression" priority="5" dxfId="8" stopIfTrue="1">
      <formula>EXACT($B19,"Completed")</formula>
    </cfRule>
    <cfRule type="expression" priority="6" dxfId="4" stopIfTrue="1">
      <formula>EXACT($B19,"On Hold")</formula>
    </cfRule>
    <cfRule type="expression" priority="7" dxfId="8" stopIfTrue="1">
      <formula>EXACT($B19,"Not Started")</formula>
    </cfRule>
    <cfRule type="expression" priority="8" dxfId="5" stopIfTrue="1">
      <formula>EXACT($B19,"Cancelled")</formula>
    </cfRule>
  </conditionalFormatting>
  <dataValidations count="1">
    <dataValidation sqref="B5:D5" showDropDown="0" showInputMessage="1" showErrorMessage="1" allowBlank="1" errorTitle="Value not allowed" error="Pick a value from the drop-down list (L_Projects)." promptTitle="Select" prompt="Choose the project this charter belongs to" type="list" errorStyle="stop">
      <formula1>L_Projects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AO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32" customWidth="1" min="4" max="4"/>
    <col width="24" customWidth="1" min="5" max="5"/>
    <col width="16" customWidth="1" min="6" max="6"/>
    <col width="11" customWidth="1" min="7" max="7"/>
    <col width="12" customWidth="1" min="8" max="8"/>
    <col width="12" customWidth="1" min="9" max="9"/>
    <col width="13" customWidth="1" min="10" max="10"/>
    <col width="14" customWidth="1" min="11" max="11"/>
    <col width="10" customWidth="1" min="12" max="12"/>
    <col width="11" customWidth="1" min="13" max="13"/>
    <col width="13" customWidth="1" min="14" max="14"/>
    <col width="10" customWidth="1" min="15" max="15"/>
    <col width="10" customWidth="1" min="16" max="16"/>
    <col width="2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</cols>
  <sheetData>
    <row r="1" ht="32" customHeight="1">
      <c r="A1" s="1" t="inlineStr">
        <is>
          <t>WBS, SCHEDULE &amp; GANTT</t>
        </is>
      </c>
    </row>
    <row r="2" ht="17" customHeight="1">
      <c r="A2" s="2" t="inlineStr">
        <is>
          <t>Task-level plan with baseline, variance and an automatic weekly Gantt timeline (columns R onward). Green = on schedule, amber = minor delay, red = major delay.</t>
        </is>
      </c>
    </row>
    <row r="3" ht="18" customHeight="1">
      <c r="A3" s="6" t="inlineStr">
        <is>
          <t>GANTT - ONE COLUMN PER WEEK   |   start date of the timeline comes from 23_SETTINGS!B5   |   the highlighted week is this week</t>
        </is>
      </c>
    </row>
    <row r="4" ht="56" customHeight="1">
      <c r="A4" s="64" t="inlineStr">
        <is>
          <t>WBS ID</t>
        </is>
      </c>
      <c r="B4" s="64" t="inlineStr">
        <is>
          <t>Project</t>
        </is>
      </c>
      <c r="C4" s="64" t="inlineStr">
        <is>
          <t>Phase</t>
        </is>
      </c>
      <c r="D4" s="64" t="inlineStr">
        <is>
          <t>Task</t>
        </is>
      </c>
      <c r="E4" s="64" t="inlineStr">
        <is>
          <t>Deliverable</t>
        </is>
      </c>
      <c r="F4" s="64" t="inlineStr">
        <is>
          <t>Owner</t>
        </is>
      </c>
      <c r="G4" s="64" t="inlineStr">
        <is>
          <t>Dependency</t>
        </is>
      </c>
      <c r="H4" s="64" t="inlineStr">
        <is>
          <t>Start Date</t>
        </is>
      </c>
      <c r="I4" s="64" t="inlineStr">
        <is>
          <t>Finish Date</t>
        </is>
      </c>
      <c r="J4" s="64" t="inlineStr">
        <is>
          <t>Baseline Start</t>
        </is>
      </c>
      <c r="K4" s="64" t="inlineStr">
        <is>
          <t>Baseline Finish</t>
        </is>
      </c>
      <c r="L4" s="64" t="inlineStr">
        <is>
          <t>Duration</t>
        </is>
      </c>
      <c r="M4" s="64" t="inlineStr">
        <is>
          <t>% Complete</t>
        </is>
      </c>
      <c r="N4" s="64" t="inlineStr">
        <is>
          <t>Status</t>
        </is>
      </c>
      <c r="O4" s="64" t="inlineStr">
        <is>
          <t>Variance</t>
        </is>
      </c>
      <c r="P4" s="64" t="inlineStr">
        <is>
          <t>Milestone</t>
        </is>
      </c>
      <c r="Q4" s="64" t="inlineStr">
        <is>
          <t>Notes</t>
        </is>
      </c>
      <c r="R4" s="77">
        <f>'23_SETTINGS'!$B$5</f>
        <v/>
      </c>
      <c r="S4" s="77">
        <f>R4+7</f>
        <v/>
      </c>
      <c r="T4" s="77">
        <f>S4+7</f>
        <v/>
      </c>
      <c r="U4" s="77">
        <f>T4+7</f>
        <v/>
      </c>
      <c r="V4" s="77">
        <f>U4+7</f>
        <v/>
      </c>
      <c r="W4" s="77">
        <f>V4+7</f>
        <v/>
      </c>
      <c r="X4" s="77">
        <f>W4+7</f>
        <v/>
      </c>
      <c r="Y4" s="77">
        <f>X4+7</f>
        <v/>
      </c>
      <c r="Z4" s="77">
        <f>Y4+7</f>
        <v/>
      </c>
      <c r="AA4" s="77">
        <f>Z4+7</f>
        <v/>
      </c>
      <c r="AB4" s="77">
        <f>AA4+7</f>
        <v/>
      </c>
      <c r="AC4" s="77">
        <f>AB4+7</f>
        <v/>
      </c>
      <c r="AD4" s="77">
        <f>AC4+7</f>
        <v/>
      </c>
      <c r="AE4" s="77">
        <f>AD4+7</f>
        <v/>
      </c>
      <c r="AF4" s="77">
        <f>AE4+7</f>
        <v/>
      </c>
      <c r="AG4" s="77">
        <f>AF4+7</f>
        <v/>
      </c>
      <c r="AH4" s="77">
        <f>AG4+7</f>
        <v/>
      </c>
      <c r="AI4" s="77">
        <f>AH4+7</f>
        <v/>
      </c>
      <c r="AJ4" s="77">
        <f>AI4+7</f>
        <v/>
      </c>
      <c r="AK4" s="77">
        <f>AJ4+7</f>
        <v/>
      </c>
      <c r="AL4" s="77">
        <f>AK4+7</f>
        <v/>
      </c>
      <c r="AM4" s="77">
        <f>AL4+7</f>
        <v/>
      </c>
      <c r="AN4" s="77">
        <f>AM4+7</f>
        <v/>
      </c>
      <c r="AO4" s="77">
        <f>AN4+7</f>
        <v/>
      </c>
    </row>
    <row r="5" ht="28" customHeight="1">
      <c r="A5" s="65" t="inlineStr">
        <is>
          <t>1.0</t>
        </is>
      </c>
      <c r="B5" s="65" t="inlineStr">
        <is>
          <t>ERP Implementation</t>
        </is>
      </c>
      <c r="C5" s="65" t="inlineStr">
        <is>
          <t>Initiation</t>
        </is>
      </c>
      <c r="D5" s="65" t="inlineStr">
        <is>
          <t>Project charter approval</t>
        </is>
      </c>
      <c r="E5" s="65" t="inlineStr">
        <is>
          <t>Signed charter</t>
        </is>
      </c>
      <c r="F5" s="65" t="inlineStr">
        <is>
          <t>Ahmed Khan</t>
        </is>
      </c>
      <c r="G5" s="65" t="inlineStr"/>
      <c r="H5" s="66" t="n">
        <v>46204</v>
      </c>
      <c r="I5" s="66" t="n">
        <v>46213</v>
      </c>
      <c r="J5" s="66" t="n">
        <v>46204</v>
      </c>
      <c r="K5" s="66" t="n">
        <v>46213</v>
      </c>
      <c r="L5" s="69">
        <f>IF(OR(H5="",I5=""),"",I5-H5+1)</f>
        <v/>
      </c>
      <c r="M5" s="67" t="n">
        <v>1</v>
      </c>
      <c r="N5" s="65" t="inlineStr">
        <is>
          <t>Complete</t>
        </is>
      </c>
      <c r="O5" s="69">
        <f>IF(OR(I5="",K5=""),"",I5-K5)</f>
        <v/>
      </c>
      <c r="P5" s="65" t="inlineStr">
        <is>
          <t>Yes</t>
        </is>
      </c>
      <c r="Q5" s="70" t="inlineStr">
        <is>
          <t>SAMPLE</t>
        </is>
      </c>
      <c r="R5" s="78">
        <f>IF(AND($H5&lt;&gt;"",$I5&lt;&gt;"",$H5&lt;=R$4+6,$I5&gt;=R$4),1,"")</f>
        <v/>
      </c>
      <c r="S5" s="78">
        <f>IF(AND($H5&lt;&gt;"",$I5&lt;&gt;"",$H5&lt;=S$4+6,$I5&gt;=S$4),1,"")</f>
        <v/>
      </c>
      <c r="T5" s="78">
        <f>IF(AND($H5&lt;&gt;"",$I5&lt;&gt;"",$H5&lt;=T$4+6,$I5&gt;=T$4),1,"")</f>
        <v/>
      </c>
      <c r="U5" s="78">
        <f>IF(AND($H5&lt;&gt;"",$I5&lt;&gt;"",$H5&lt;=U$4+6,$I5&gt;=U$4),1,"")</f>
        <v/>
      </c>
      <c r="V5" s="78">
        <f>IF(AND($H5&lt;&gt;"",$I5&lt;&gt;"",$H5&lt;=V$4+6,$I5&gt;=V$4),1,"")</f>
        <v/>
      </c>
      <c r="W5" s="78">
        <f>IF(AND($H5&lt;&gt;"",$I5&lt;&gt;"",$H5&lt;=W$4+6,$I5&gt;=W$4),1,"")</f>
        <v/>
      </c>
      <c r="X5" s="78">
        <f>IF(AND($H5&lt;&gt;"",$I5&lt;&gt;"",$H5&lt;=X$4+6,$I5&gt;=X$4),1,"")</f>
        <v/>
      </c>
      <c r="Y5" s="78">
        <f>IF(AND($H5&lt;&gt;"",$I5&lt;&gt;"",$H5&lt;=Y$4+6,$I5&gt;=Y$4),1,"")</f>
        <v/>
      </c>
      <c r="Z5" s="78">
        <f>IF(AND($H5&lt;&gt;"",$I5&lt;&gt;"",$H5&lt;=Z$4+6,$I5&gt;=Z$4),1,"")</f>
        <v/>
      </c>
      <c r="AA5" s="78">
        <f>IF(AND($H5&lt;&gt;"",$I5&lt;&gt;"",$H5&lt;=AA$4+6,$I5&gt;=AA$4),1,"")</f>
        <v/>
      </c>
      <c r="AB5" s="78">
        <f>IF(AND($H5&lt;&gt;"",$I5&lt;&gt;"",$H5&lt;=AB$4+6,$I5&gt;=AB$4),1,"")</f>
        <v/>
      </c>
      <c r="AC5" s="78">
        <f>IF(AND($H5&lt;&gt;"",$I5&lt;&gt;"",$H5&lt;=AC$4+6,$I5&gt;=AC$4),1,"")</f>
        <v/>
      </c>
      <c r="AD5" s="78">
        <f>IF(AND($H5&lt;&gt;"",$I5&lt;&gt;"",$H5&lt;=AD$4+6,$I5&gt;=AD$4),1,"")</f>
        <v/>
      </c>
      <c r="AE5" s="78">
        <f>IF(AND($H5&lt;&gt;"",$I5&lt;&gt;"",$H5&lt;=AE$4+6,$I5&gt;=AE$4),1,"")</f>
        <v/>
      </c>
      <c r="AF5" s="78">
        <f>IF(AND($H5&lt;&gt;"",$I5&lt;&gt;"",$H5&lt;=AF$4+6,$I5&gt;=AF$4),1,"")</f>
        <v/>
      </c>
      <c r="AG5" s="78">
        <f>IF(AND($H5&lt;&gt;"",$I5&lt;&gt;"",$H5&lt;=AG$4+6,$I5&gt;=AG$4),1,"")</f>
        <v/>
      </c>
      <c r="AH5" s="78">
        <f>IF(AND($H5&lt;&gt;"",$I5&lt;&gt;"",$H5&lt;=AH$4+6,$I5&gt;=AH$4),1,"")</f>
        <v/>
      </c>
      <c r="AI5" s="78">
        <f>IF(AND($H5&lt;&gt;"",$I5&lt;&gt;"",$H5&lt;=AI$4+6,$I5&gt;=AI$4),1,"")</f>
        <v/>
      </c>
      <c r="AJ5" s="78">
        <f>IF(AND($H5&lt;&gt;"",$I5&lt;&gt;"",$H5&lt;=AJ$4+6,$I5&gt;=AJ$4),1,"")</f>
        <v/>
      </c>
      <c r="AK5" s="78">
        <f>IF(AND($H5&lt;&gt;"",$I5&lt;&gt;"",$H5&lt;=AK$4+6,$I5&gt;=AK$4),1,"")</f>
        <v/>
      </c>
      <c r="AL5" s="78">
        <f>IF(AND($H5&lt;&gt;"",$I5&lt;&gt;"",$H5&lt;=AL$4+6,$I5&gt;=AL$4),1,"")</f>
        <v/>
      </c>
      <c r="AM5" s="78">
        <f>IF(AND($H5&lt;&gt;"",$I5&lt;&gt;"",$H5&lt;=AM$4+6,$I5&gt;=AM$4),1,"")</f>
        <v/>
      </c>
      <c r="AN5" s="78">
        <f>IF(AND($H5&lt;&gt;"",$I5&lt;&gt;"",$H5&lt;=AN$4+6,$I5&gt;=AN$4),1,"")</f>
        <v/>
      </c>
      <c r="AO5" s="78">
        <f>IF(AND($H5&lt;&gt;"",$I5&lt;&gt;"",$H5&lt;=AO$4+6,$I5&gt;=AO$4),1,"")</f>
        <v/>
      </c>
    </row>
    <row r="6" ht="28" customHeight="1">
      <c r="A6" s="65" t="inlineStr">
        <is>
          <t>2.0</t>
        </is>
      </c>
      <c r="B6" s="65" t="inlineStr">
        <is>
          <t>ERP Implementation</t>
        </is>
      </c>
      <c r="C6" s="65" t="inlineStr">
        <is>
          <t>Requirements</t>
        </is>
      </c>
      <c r="D6" s="65" t="inlineStr">
        <is>
          <t>Gather business requirements</t>
        </is>
      </c>
      <c r="E6" s="65" t="inlineStr">
        <is>
          <t>Requirements specification</t>
        </is>
      </c>
      <c r="F6" s="65" t="inlineStr">
        <is>
          <t>Priya Raman</t>
        </is>
      </c>
      <c r="G6" s="65" t="inlineStr">
        <is>
          <t>1.0</t>
        </is>
      </c>
      <c r="H6" s="66" t="n">
        <v>46216</v>
      </c>
      <c r="I6" s="66" t="n">
        <v>46241</v>
      </c>
      <c r="J6" s="66" t="n">
        <v>46216</v>
      </c>
      <c r="K6" s="66" t="n">
        <v>46241</v>
      </c>
      <c r="L6" s="69">
        <f>IF(OR(H6="",I6=""),"",I6-H6+1)</f>
        <v/>
      </c>
      <c r="M6" s="67" t="n">
        <v>1</v>
      </c>
      <c r="N6" s="65" t="inlineStr">
        <is>
          <t>Complete</t>
        </is>
      </c>
      <c r="O6" s="69">
        <f>IF(OR(I6="",K6=""),"",I6-K6)</f>
        <v/>
      </c>
      <c r="P6" s="65" t="inlineStr">
        <is>
          <t>Yes</t>
        </is>
      </c>
      <c r="Q6" s="70" t="inlineStr">
        <is>
          <t>SAMPLE</t>
        </is>
      </c>
      <c r="R6" s="78">
        <f>IF(AND($H6&lt;&gt;"",$I6&lt;&gt;"",$H6&lt;=R$4+6,$I6&gt;=R$4),1,"")</f>
        <v/>
      </c>
      <c r="S6" s="78">
        <f>IF(AND($H6&lt;&gt;"",$I6&lt;&gt;"",$H6&lt;=S$4+6,$I6&gt;=S$4),1,"")</f>
        <v/>
      </c>
      <c r="T6" s="78">
        <f>IF(AND($H6&lt;&gt;"",$I6&lt;&gt;"",$H6&lt;=T$4+6,$I6&gt;=T$4),1,"")</f>
        <v/>
      </c>
      <c r="U6" s="78">
        <f>IF(AND($H6&lt;&gt;"",$I6&lt;&gt;"",$H6&lt;=U$4+6,$I6&gt;=U$4),1,"")</f>
        <v/>
      </c>
      <c r="V6" s="78">
        <f>IF(AND($H6&lt;&gt;"",$I6&lt;&gt;"",$H6&lt;=V$4+6,$I6&gt;=V$4),1,"")</f>
        <v/>
      </c>
      <c r="W6" s="78">
        <f>IF(AND($H6&lt;&gt;"",$I6&lt;&gt;"",$H6&lt;=W$4+6,$I6&gt;=W$4),1,"")</f>
        <v/>
      </c>
      <c r="X6" s="78">
        <f>IF(AND($H6&lt;&gt;"",$I6&lt;&gt;"",$H6&lt;=X$4+6,$I6&gt;=X$4),1,"")</f>
        <v/>
      </c>
      <c r="Y6" s="78">
        <f>IF(AND($H6&lt;&gt;"",$I6&lt;&gt;"",$H6&lt;=Y$4+6,$I6&gt;=Y$4),1,"")</f>
        <v/>
      </c>
      <c r="Z6" s="78">
        <f>IF(AND($H6&lt;&gt;"",$I6&lt;&gt;"",$H6&lt;=Z$4+6,$I6&gt;=Z$4),1,"")</f>
        <v/>
      </c>
      <c r="AA6" s="78">
        <f>IF(AND($H6&lt;&gt;"",$I6&lt;&gt;"",$H6&lt;=AA$4+6,$I6&gt;=AA$4),1,"")</f>
        <v/>
      </c>
      <c r="AB6" s="78">
        <f>IF(AND($H6&lt;&gt;"",$I6&lt;&gt;"",$H6&lt;=AB$4+6,$I6&gt;=AB$4),1,"")</f>
        <v/>
      </c>
      <c r="AC6" s="78">
        <f>IF(AND($H6&lt;&gt;"",$I6&lt;&gt;"",$H6&lt;=AC$4+6,$I6&gt;=AC$4),1,"")</f>
        <v/>
      </c>
      <c r="AD6" s="78">
        <f>IF(AND($H6&lt;&gt;"",$I6&lt;&gt;"",$H6&lt;=AD$4+6,$I6&gt;=AD$4),1,"")</f>
        <v/>
      </c>
      <c r="AE6" s="78">
        <f>IF(AND($H6&lt;&gt;"",$I6&lt;&gt;"",$H6&lt;=AE$4+6,$I6&gt;=AE$4),1,"")</f>
        <v/>
      </c>
      <c r="AF6" s="78">
        <f>IF(AND($H6&lt;&gt;"",$I6&lt;&gt;"",$H6&lt;=AF$4+6,$I6&gt;=AF$4),1,"")</f>
        <v/>
      </c>
      <c r="AG6" s="78">
        <f>IF(AND($H6&lt;&gt;"",$I6&lt;&gt;"",$H6&lt;=AG$4+6,$I6&gt;=AG$4),1,"")</f>
        <v/>
      </c>
      <c r="AH6" s="78">
        <f>IF(AND($H6&lt;&gt;"",$I6&lt;&gt;"",$H6&lt;=AH$4+6,$I6&gt;=AH$4),1,"")</f>
        <v/>
      </c>
      <c r="AI6" s="78">
        <f>IF(AND($H6&lt;&gt;"",$I6&lt;&gt;"",$H6&lt;=AI$4+6,$I6&gt;=AI$4),1,"")</f>
        <v/>
      </c>
      <c r="AJ6" s="78">
        <f>IF(AND($H6&lt;&gt;"",$I6&lt;&gt;"",$H6&lt;=AJ$4+6,$I6&gt;=AJ$4),1,"")</f>
        <v/>
      </c>
      <c r="AK6" s="78">
        <f>IF(AND($H6&lt;&gt;"",$I6&lt;&gt;"",$H6&lt;=AK$4+6,$I6&gt;=AK$4),1,"")</f>
        <v/>
      </c>
      <c r="AL6" s="78">
        <f>IF(AND($H6&lt;&gt;"",$I6&lt;&gt;"",$H6&lt;=AL$4+6,$I6&gt;=AL$4),1,"")</f>
        <v/>
      </c>
      <c r="AM6" s="78">
        <f>IF(AND($H6&lt;&gt;"",$I6&lt;&gt;"",$H6&lt;=AM$4+6,$I6&gt;=AM$4),1,"")</f>
        <v/>
      </c>
      <c r="AN6" s="78">
        <f>IF(AND($H6&lt;&gt;"",$I6&lt;&gt;"",$H6&lt;=AN$4+6,$I6&gt;=AN$4),1,"")</f>
        <v/>
      </c>
      <c r="AO6" s="78">
        <f>IF(AND($H6&lt;&gt;"",$I6&lt;&gt;"",$H6&lt;=AO$4+6,$I6&gt;=AO$4),1,"")</f>
        <v/>
      </c>
    </row>
    <row r="7" ht="28" customHeight="1">
      <c r="A7" s="65" t="inlineStr">
        <is>
          <t>3.0</t>
        </is>
      </c>
      <c r="B7" s="65" t="inlineStr">
        <is>
          <t>ERP Implementation</t>
        </is>
      </c>
      <c r="C7" s="65" t="inlineStr">
        <is>
          <t>Design</t>
        </is>
      </c>
      <c r="D7" s="65" t="inlineStr">
        <is>
          <t>Solution design workshops</t>
        </is>
      </c>
      <c r="E7" s="65" t="inlineStr">
        <is>
          <t>Design document</t>
        </is>
      </c>
      <c r="F7" s="65" t="inlineStr">
        <is>
          <t>Tom Becker</t>
        </is>
      </c>
      <c r="G7" s="65" t="inlineStr">
        <is>
          <t>2.0</t>
        </is>
      </c>
      <c r="H7" s="66" t="n">
        <v>46244</v>
      </c>
      <c r="I7" s="66" t="n">
        <v>46262</v>
      </c>
      <c r="J7" s="66" t="n">
        <v>46244</v>
      </c>
      <c r="K7" s="66" t="n">
        <v>46262</v>
      </c>
      <c r="L7" s="69">
        <f>IF(OR(H7="",I7=""),"",I7-H7+1)</f>
        <v/>
      </c>
      <c r="M7" s="67" t="n">
        <v>1</v>
      </c>
      <c r="N7" s="65" t="inlineStr">
        <is>
          <t>Complete</t>
        </is>
      </c>
      <c r="O7" s="69">
        <f>IF(OR(I7="",K7=""),"",I7-K7)</f>
        <v/>
      </c>
      <c r="P7" s="65" t="inlineStr">
        <is>
          <t>No</t>
        </is>
      </c>
      <c r="Q7" s="70" t="inlineStr">
        <is>
          <t>SAMPLE</t>
        </is>
      </c>
      <c r="R7" s="78">
        <f>IF(AND($H7&lt;&gt;"",$I7&lt;&gt;"",$H7&lt;=R$4+6,$I7&gt;=R$4),1,"")</f>
        <v/>
      </c>
      <c r="S7" s="78">
        <f>IF(AND($H7&lt;&gt;"",$I7&lt;&gt;"",$H7&lt;=S$4+6,$I7&gt;=S$4),1,"")</f>
        <v/>
      </c>
      <c r="T7" s="78">
        <f>IF(AND($H7&lt;&gt;"",$I7&lt;&gt;"",$H7&lt;=T$4+6,$I7&gt;=T$4),1,"")</f>
        <v/>
      </c>
      <c r="U7" s="78">
        <f>IF(AND($H7&lt;&gt;"",$I7&lt;&gt;"",$H7&lt;=U$4+6,$I7&gt;=U$4),1,"")</f>
        <v/>
      </c>
      <c r="V7" s="78">
        <f>IF(AND($H7&lt;&gt;"",$I7&lt;&gt;"",$H7&lt;=V$4+6,$I7&gt;=V$4),1,"")</f>
        <v/>
      </c>
      <c r="W7" s="78">
        <f>IF(AND($H7&lt;&gt;"",$I7&lt;&gt;"",$H7&lt;=W$4+6,$I7&gt;=W$4),1,"")</f>
        <v/>
      </c>
      <c r="X7" s="78">
        <f>IF(AND($H7&lt;&gt;"",$I7&lt;&gt;"",$H7&lt;=X$4+6,$I7&gt;=X$4),1,"")</f>
        <v/>
      </c>
      <c r="Y7" s="78">
        <f>IF(AND($H7&lt;&gt;"",$I7&lt;&gt;"",$H7&lt;=Y$4+6,$I7&gt;=Y$4),1,"")</f>
        <v/>
      </c>
      <c r="Z7" s="78">
        <f>IF(AND($H7&lt;&gt;"",$I7&lt;&gt;"",$H7&lt;=Z$4+6,$I7&gt;=Z$4),1,"")</f>
        <v/>
      </c>
      <c r="AA7" s="78">
        <f>IF(AND($H7&lt;&gt;"",$I7&lt;&gt;"",$H7&lt;=AA$4+6,$I7&gt;=AA$4),1,"")</f>
        <v/>
      </c>
      <c r="AB7" s="78">
        <f>IF(AND($H7&lt;&gt;"",$I7&lt;&gt;"",$H7&lt;=AB$4+6,$I7&gt;=AB$4),1,"")</f>
        <v/>
      </c>
      <c r="AC7" s="78">
        <f>IF(AND($H7&lt;&gt;"",$I7&lt;&gt;"",$H7&lt;=AC$4+6,$I7&gt;=AC$4),1,"")</f>
        <v/>
      </c>
      <c r="AD7" s="78">
        <f>IF(AND($H7&lt;&gt;"",$I7&lt;&gt;"",$H7&lt;=AD$4+6,$I7&gt;=AD$4),1,"")</f>
        <v/>
      </c>
      <c r="AE7" s="78">
        <f>IF(AND($H7&lt;&gt;"",$I7&lt;&gt;"",$H7&lt;=AE$4+6,$I7&gt;=AE$4),1,"")</f>
        <v/>
      </c>
      <c r="AF7" s="78">
        <f>IF(AND($H7&lt;&gt;"",$I7&lt;&gt;"",$H7&lt;=AF$4+6,$I7&gt;=AF$4),1,"")</f>
        <v/>
      </c>
      <c r="AG7" s="78">
        <f>IF(AND($H7&lt;&gt;"",$I7&lt;&gt;"",$H7&lt;=AG$4+6,$I7&gt;=AG$4),1,"")</f>
        <v/>
      </c>
      <c r="AH7" s="78">
        <f>IF(AND($H7&lt;&gt;"",$I7&lt;&gt;"",$H7&lt;=AH$4+6,$I7&gt;=AH$4),1,"")</f>
        <v/>
      </c>
      <c r="AI7" s="78">
        <f>IF(AND($H7&lt;&gt;"",$I7&lt;&gt;"",$H7&lt;=AI$4+6,$I7&gt;=AI$4),1,"")</f>
        <v/>
      </c>
      <c r="AJ7" s="78">
        <f>IF(AND($H7&lt;&gt;"",$I7&lt;&gt;"",$H7&lt;=AJ$4+6,$I7&gt;=AJ$4),1,"")</f>
        <v/>
      </c>
      <c r="AK7" s="78">
        <f>IF(AND($H7&lt;&gt;"",$I7&lt;&gt;"",$H7&lt;=AK$4+6,$I7&gt;=AK$4),1,"")</f>
        <v/>
      </c>
      <c r="AL7" s="78">
        <f>IF(AND($H7&lt;&gt;"",$I7&lt;&gt;"",$H7&lt;=AL$4+6,$I7&gt;=AL$4),1,"")</f>
        <v/>
      </c>
      <c r="AM7" s="78">
        <f>IF(AND($H7&lt;&gt;"",$I7&lt;&gt;"",$H7&lt;=AM$4+6,$I7&gt;=AM$4),1,"")</f>
        <v/>
      </c>
      <c r="AN7" s="78">
        <f>IF(AND($H7&lt;&gt;"",$I7&lt;&gt;"",$H7&lt;=AN$4+6,$I7&gt;=AN$4),1,"")</f>
        <v/>
      </c>
      <c r="AO7" s="78">
        <f>IF(AND($H7&lt;&gt;"",$I7&lt;&gt;"",$H7&lt;=AO$4+6,$I7&gt;=AO$4),1,"")</f>
        <v/>
      </c>
    </row>
    <row r="8" ht="28" customHeight="1">
      <c r="A8" s="65" t="inlineStr">
        <is>
          <t>4.0</t>
        </is>
      </c>
      <c r="B8" s="65" t="inlineStr">
        <is>
          <t>ERP Implementation</t>
        </is>
      </c>
      <c r="C8" s="65" t="inlineStr">
        <is>
          <t>Build</t>
        </is>
      </c>
      <c r="D8" s="65" t="inlineStr">
        <is>
          <t>Configure core ERP modules</t>
        </is>
      </c>
      <c r="E8" s="65" t="inlineStr">
        <is>
          <t>Configured system</t>
        </is>
      </c>
      <c r="F8" s="65" t="inlineStr">
        <is>
          <t>Ahmed Khan</t>
        </is>
      </c>
      <c r="G8" s="65" t="inlineStr">
        <is>
          <t>3.0</t>
        </is>
      </c>
      <c r="H8" s="66" t="n">
        <v>46265</v>
      </c>
      <c r="I8" s="66" t="n">
        <v>46304</v>
      </c>
      <c r="J8" s="66" t="n">
        <v>46265</v>
      </c>
      <c r="K8" s="66" t="n">
        <v>46297</v>
      </c>
      <c r="L8" s="69">
        <f>IF(OR(H8="",I8=""),"",I8-H8+1)</f>
        <v/>
      </c>
      <c r="M8" s="67" t="n">
        <v>0.7</v>
      </c>
      <c r="N8" s="65" t="inlineStr">
        <is>
          <t>In Progress</t>
        </is>
      </c>
      <c r="O8" s="69">
        <f>IF(OR(I8="",K8=""),"",I8-K8)</f>
        <v/>
      </c>
      <c r="P8" s="65" t="inlineStr">
        <is>
          <t>No</t>
        </is>
      </c>
      <c r="Q8" s="70" t="inlineStr">
        <is>
          <t>SAMPLE - running 7 days late</t>
        </is>
      </c>
      <c r="R8" s="78">
        <f>IF(AND($H8&lt;&gt;"",$I8&lt;&gt;"",$H8&lt;=R$4+6,$I8&gt;=R$4),1,"")</f>
        <v/>
      </c>
      <c r="S8" s="78">
        <f>IF(AND($H8&lt;&gt;"",$I8&lt;&gt;"",$H8&lt;=S$4+6,$I8&gt;=S$4),1,"")</f>
        <v/>
      </c>
      <c r="T8" s="78">
        <f>IF(AND($H8&lt;&gt;"",$I8&lt;&gt;"",$H8&lt;=T$4+6,$I8&gt;=T$4),1,"")</f>
        <v/>
      </c>
      <c r="U8" s="78">
        <f>IF(AND($H8&lt;&gt;"",$I8&lt;&gt;"",$H8&lt;=U$4+6,$I8&gt;=U$4),1,"")</f>
        <v/>
      </c>
      <c r="V8" s="78">
        <f>IF(AND($H8&lt;&gt;"",$I8&lt;&gt;"",$H8&lt;=V$4+6,$I8&gt;=V$4),1,"")</f>
        <v/>
      </c>
      <c r="W8" s="78">
        <f>IF(AND($H8&lt;&gt;"",$I8&lt;&gt;"",$H8&lt;=W$4+6,$I8&gt;=W$4),1,"")</f>
        <v/>
      </c>
      <c r="X8" s="78">
        <f>IF(AND($H8&lt;&gt;"",$I8&lt;&gt;"",$H8&lt;=X$4+6,$I8&gt;=X$4),1,"")</f>
        <v/>
      </c>
      <c r="Y8" s="78">
        <f>IF(AND($H8&lt;&gt;"",$I8&lt;&gt;"",$H8&lt;=Y$4+6,$I8&gt;=Y$4),1,"")</f>
        <v/>
      </c>
      <c r="Z8" s="78">
        <f>IF(AND($H8&lt;&gt;"",$I8&lt;&gt;"",$H8&lt;=Z$4+6,$I8&gt;=Z$4),1,"")</f>
        <v/>
      </c>
      <c r="AA8" s="78">
        <f>IF(AND($H8&lt;&gt;"",$I8&lt;&gt;"",$H8&lt;=AA$4+6,$I8&gt;=AA$4),1,"")</f>
        <v/>
      </c>
      <c r="AB8" s="78">
        <f>IF(AND($H8&lt;&gt;"",$I8&lt;&gt;"",$H8&lt;=AB$4+6,$I8&gt;=AB$4),1,"")</f>
        <v/>
      </c>
      <c r="AC8" s="78">
        <f>IF(AND($H8&lt;&gt;"",$I8&lt;&gt;"",$H8&lt;=AC$4+6,$I8&gt;=AC$4),1,"")</f>
        <v/>
      </c>
      <c r="AD8" s="78">
        <f>IF(AND($H8&lt;&gt;"",$I8&lt;&gt;"",$H8&lt;=AD$4+6,$I8&gt;=AD$4),1,"")</f>
        <v/>
      </c>
      <c r="AE8" s="78">
        <f>IF(AND($H8&lt;&gt;"",$I8&lt;&gt;"",$H8&lt;=AE$4+6,$I8&gt;=AE$4),1,"")</f>
        <v/>
      </c>
      <c r="AF8" s="78">
        <f>IF(AND($H8&lt;&gt;"",$I8&lt;&gt;"",$H8&lt;=AF$4+6,$I8&gt;=AF$4),1,"")</f>
        <v/>
      </c>
      <c r="AG8" s="78">
        <f>IF(AND($H8&lt;&gt;"",$I8&lt;&gt;"",$H8&lt;=AG$4+6,$I8&gt;=AG$4),1,"")</f>
        <v/>
      </c>
      <c r="AH8" s="78">
        <f>IF(AND($H8&lt;&gt;"",$I8&lt;&gt;"",$H8&lt;=AH$4+6,$I8&gt;=AH$4),1,"")</f>
        <v/>
      </c>
      <c r="AI8" s="78">
        <f>IF(AND($H8&lt;&gt;"",$I8&lt;&gt;"",$H8&lt;=AI$4+6,$I8&gt;=AI$4),1,"")</f>
        <v/>
      </c>
      <c r="AJ8" s="78">
        <f>IF(AND($H8&lt;&gt;"",$I8&lt;&gt;"",$H8&lt;=AJ$4+6,$I8&gt;=AJ$4),1,"")</f>
        <v/>
      </c>
      <c r="AK8" s="78">
        <f>IF(AND($H8&lt;&gt;"",$I8&lt;&gt;"",$H8&lt;=AK$4+6,$I8&gt;=AK$4),1,"")</f>
        <v/>
      </c>
      <c r="AL8" s="78">
        <f>IF(AND($H8&lt;&gt;"",$I8&lt;&gt;"",$H8&lt;=AL$4+6,$I8&gt;=AL$4),1,"")</f>
        <v/>
      </c>
      <c r="AM8" s="78">
        <f>IF(AND($H8&lt;&gt;"",$I8&lt;&gt;"",$H8&lt;=AM$4+6,$I8&gt;=AM$4),1,"")</f>
        <v/>
      </c>
      <c r="AN8" s="78">
        <f>IF(AND($H8&lt;&gt;"",$I8&lt;&gt;"",$H8&lt;=AN$4+6,$I8&gt;=AN$4),1,"")</f>
        <v/>
      </c>
      <c r="AO8" s="78">
        <f>IF(AND($H8&lt;&gt;"",$I8&lt;&gt;"",$H8&lt;=AO$4+6,$I8&gt;=AO$4),1,"")</f>
        <v/>
      </c>
    </row>
    <row r="9" ht="28" customHeight="1">
      <c r="A9" s="65" t="inlineStr">
        <is>
          <t>5.0</t>
        </is>
      </c>
      <c r="B9" s="65" t="inlineStr">
        <is>
          <t>ERP Implementation</t>
        </is>
      </c>
      <c r="C9" s="65" t="inlineStr">
        <is>
          <t>Build</t>
        </is>
      </c>
      <c r="D9" s="65" t="inlineStr">
        <is>
          <t>Data migration scripts</t>
        </is>
      </c>
      <c r="E9" s="65" t="inlineStr">
        <is>
          <t>Migration package</t>
        </is>
      </c>
      <c r="F9" s="65" t="inlineStr">
        <is>
          <t>David Okoro</t>
        </is>
      </c>
      <c r="G9" s="65" t="inlineStr">
        <is>
          <t>4.0</t>
        </is>
      </c>
      <c r="H9" s="66" t="n">
        <v>46300</v>
      </c>
      <c r="I9" s="66" t="n">
        <v>46325</v>
      </c>
      <c r="J9" s="66" t="n">
        <v>46293</v>
      </c>
      <c r="K9" s="66" t="n">
        <v>46318</v>
      </c>
      <c r="L9" s="69">
        <f>IF(OR(H9="",I9=""),"",I9-H9+1)</f>
        <v/>
      </c>
      <c r="M9" s="67" t="n">
        <v>0.25</v>
      </c>
      <c r="N9" s="65" t="inlineStr">
        <is>
          <t>In Progress</t>
        </is>
      </c>
      <c r="O9" s="69">
        <f>IF(OR(I9="",K9=""),"",I9-K9)</f>
        <v/>
      </c>
      <c r="P9" s="65" t="inlineStr">
        <is>
          <t>No</t>
        </is>
      </c>
      <c r="Q9" s="70" t="inlineStr">
        <is>
          <t>SAMPLE</t>
        </is>
      </c>
      <c r="R9" s="78">
        <f>IF(AND($H9&lt;&gt;"",$I9&lt;&gt;"",$H9&lt;=R$4+6,$I9&gt;=R$4),1,"")</f>
        <v/>
      </c>
      <c r="S9" s="78">
        <f>IF(AND($H9&lt;&gt;"",$I9&lt;&gt;"",$H9&lt;=S$4+6,$I9&gt;=S$4),1,"")</f>
        <v/>
      </c>
      <c r="T9" s="78">
        <f>IF(AND($H9&lt;&gt;"",$I9&lt;&gt;"",$H9&lt;=T$4+6,$I9&gt;=T$4),1,"")</f>
        <v/>
      </c>
      <c r="U9" s="78">
        <f>IF(AND($H9&lt;&gt;"",$I9&lt;&gt;"",$H9&lt;=U$4+6,$I9&gt;=U$4),1,"")</f>
        <v/>
      </c>
      <c r="V9" s="78">
        <f>IF(AND($H9&lt;&gt;"",$I9&lt;&gt;"",$H9&lt;=V$4+6,$I9&gt;=V$4),1,"")</f>
        <v/>
      </c>
      <c r="W9" s="78">
        <f>IF(AND($H9&lt;&gt;"",$I9&lt;&gt;"",$H9&lt;=W$4+6,$I9&gt;=W$4),1,"")</f>
        <v/>
      </c>
      <c r="X9" s="78">
        <f>IF(AND($H9&lt;&gt;"",$I9&lt;&gt;"",$H9&lt;=X$4+6,$I9&gt;=X$4),1,"")</f>
        <v/>
      </c>
      <c r="Y9" s="78">
        <f>IF(AND($H9&lt;&gt;"",$I9&lt;&gt;"",$H9&lt;=Y$4+6,$I9&gt;=Y$4),1,"")</f>
        <v/>
      </c>
      <c r="Z9" s="78">
        <f>IF(AND($H9&lt;&gt;"",$I9&lt;&gt;"",$H9&lt;=Z$4+6,$I9&gt;=Z$4),1,"")</f>
        <v/>
      </c>
      <c r="AA9" s="78">
        <f>IF(AND($H9&lt;&gt;"",$I9&lt;&gt;"",$H9&lt;=AA$4+6,$I9&gt;=AA$4),1,"")</f>
        <v/>
      </c>
      <c r="AB9" s="78">
        <f>IF(AND($H9&lt;&gt;"",$I9&lt;&gt;"",$H9&lt;=AB$4+6,$I9&gt;=AB$4),1,"")</f>
        <v/>
      </c>
      <c r="AC9" s="78">
        <f>IF(AND($H9&lt;&gt;"",$I9&lt;&gt;"",$H9&lt;=AC$4+6,$I9&gt;=AC$4),1,"")</f>
        <v/>
      </c>
      <c r="AD9" s="78">
        <f>IF(AND($H9&lt;&gt;"",$I9&lt;&gt;"",$H9&lt;=AD$4+6,$I9&gt;=AD$4),1,"")</f>
        <v/>
      </c>
      <c r="AE9" s="78">
        <f>IF(AND($H9&lt;&gt;"",$I9&lt;&gt;"",$H9&lt;=AE$4+6,$I9&gt;=AE$4),1,"")</f>
        <v/>
      </c>
      <c r="AF9" s="78">
        <f>IF(AND($H9&lt;&gt;"",$I9&lt;&gt;"",$H9&lt;=AF$4+6,$I9&gt;=AF$4),1,"")</f>
        <v/>
      </c>
      <c r="AG9" s="78">
        <f>IF(AND($H9&lt;&gt;"",$I9&lt;&gt;"",$H9&lt;=AG$4+6,$I9&gt;=AG$4),1,"")</f>
        <v/>
      </c>
      <c r="AH9" s="78">
        <f>IF(AND($H9&lt;&gt;"",$I9&lt;&gt;"",$H9&lt;=AH$4+6,$I9&gt;=AH$4),1,"")</f>
        <v/>
      </c>
      <c r="AI9" s="78">
        <f>IF(AND($H9&lt;&gt;"",$I9&lt;&gt;"",$H9&lt;=AI$4+6,$I9&gt;=AI$4),1,"")</f>
        <v/>
      </c>
      <c r="AJ9" s="78">
        <f>IF(AND($H9&lt;&gt;"",$I9&lt;&gt;"",$H9&lt;=AJ$4+6,$I9&gt;=AJ$4),1,"")</f>
        <v/>
      </c>
      <c r="AK9" s="78">
        <f>IF(AND($H9&lt;&gt;"",$I9&lt;&gt;"",$H9&lt;=AK$4+6,$I9&gt;=AK$4),1,"")</f>
        <v/>
      </c>
      <c r="AL9" s="78">
        <f>IF(AND($H9&lt;&gt;"",$I9&lt;&gt;"",$H9&lt;=AL$4+6,$I9&gt;=AL$4),1,"")</f>
        <v/>
      </c>
      <c r="AM9" s="78">
        <f>IF(AND($H9&lt;&gt;"",$I9&lt;&gt;"",$H9&lt;=AM$4+6,$I9&gt;=AM$4),1,"")</f>
        <v/>
      </c>
      <c r="AN9" s="78">
        <f>IF(AND($H9&lt;&gt;"",$I9&lt;&gt;"",$H9&lt;=AN$4+6,$I9&gt;=AN$4),1,"")</f>
        <v/>
      </c>
      <c r="AO9" s="78">
        <f>IF(AND($H9&lt;&gt;"",$I9&lt;&gt;"",$H9&lt;=AO$4+6,$I9&gt;=AO$4),1,"")</f>
        <v/>
      </c>
    </row>
    <row r="10" ht="28" customHeight="1">
      <c r="A10" s="65" t="inlineStr">
        <is>
          <t>6.0</t>
        </is>
      </c>
      <c r="B10" s="65" t="inlineStr">
        <is>
          <t>ERP Implementation</t>
        </is>
      </c>
      <c r="C10" s="65" t="inlineStr">
        <is>
          <t>Test</t>
        </is>
      </c>
      <c r="D10" s="65" t="inlineStr">
        <is>
          <t>System integration testing</t>
        </is>
      </c>
      <c r="E10" s="65" t="inlineStr">
        <is>
          <t>SIT report</t>
        </is>
      </c>
      <c r="F10" s="65" t="inlineStr">
        <is>
          <t>Grace Alemu</t>
        </is>
      </c>
      <c r="G10" s="65" t="inlineStr">
        <is>
          <t>5.0</t>
        </is>
      </c>
      <c r="H10" s="66" t="n">
        <v>46328</v>
      </c>
      <c r="I10" s="66" t="n">
        <v>46346</v>
      </c>
      <c r="J10" s="66" t="n">
        <v>46321</v>
      </c>
      <c r="K10" s="66" t="n">
        <v>46339</v>
      </c>
      <c r="L10" s="69">
        <f>IF(OR(H10="",I10=""),"",I10-H10+1)</f>
        <v/>
      </c>
      <c r="M10" s="67" t="n">
        <v>0</v>
      </c>
      <c r="N10" s="65" t="inlineStr">
        <is>
          <t>Not Started</t>
        </is>
      </c>
      <c r="O10" s="69">
        <f>IF(OR(I10="",K10=""),"",I10-K10)</f>
        <v/>
      </c>
      <c r="P10" s="65" t="inlineStr">
        <is>
          <t>No</t>
        </is>
      </c>
      <c r="Q10" s="70" t="inlineStr">
        <is>
          <t>SAMPLE</t>
        </is>
      </c>
      <c r="R10" s="78">
        <f>IF(AND($H10&lt;&gt;"",$I10&lt;&gt;"",$H10&lt;=R$4+6,$I10&gt;=R$4),1,"")</f>
        <v/>
      </c>
      <c r="S10" s="78">
        <f>IF(AND($H10&lt;&gt;"",$I10&lt;&gt;"",$H10&lt;=S$4+6,$I10&gt;=S$4),1,"")</f>
        <v/>
      </c>
      <c r="T10" s="78">
        <f>IF(AND($H10&lt;&gt;"",$I10&lt;&gt;"",$H10&lt;=T$4+6,$I10&gt;=T$4),1,"")</f>
        <v/>
      </c>
      <c r="U10" s="78">
        <f>IF(AND($H10&lt;&gt;"",$I10&lt;&gt;"",$H10&lt;=U$4+6,$I10&gt;=U$4),1,"")</f>
        <v/>
      </c>
      <c r="V10" s="78">
        <f>IF(AND($H10&lt;&gt;"",$I10&lt;&gt;"",$H10&lt;=V$4+6,$I10&gt;=V$4),1,"")</f>
        <v/>
      </c>
      <c r="W10" s="78">
        <f>IF(AND($H10&lt;&gt;"",$I10&lt;&gt;"",$H10&lt;=W$4+6,$I10&gt;=W$4),1,"")</f>
        <v/>
      </c>
      <c r="X10" s="78">
        <f>IF(AND($H10&lt;&gt;"",$I10&lt;&gt;"",$H10&lt;=X$4+6,$I10&gt;=X$4),1,"")</f>
        <v/>
      </c>
      <c r="Y10" s="78">
        <f>IF(AND($H10&lt;&gt;"",$I10&lt;&gt;"",$H10&lt;=Y$4+6,$I10&gt;=Y$4),1,"")</f>
        <v/>
      </c>
      <c r="Z10" s="78">
        <f>IF(AND($H10&lt;&gt;"",$I10&lt;&gt;"",$H10&lt;=Z$4+6,$I10&gt;=Z$4),1,"")</f>
        <v/>
      </c>
      <c r="AA10" s="78">
        <f>IF(AND($H10&lt;&gt;"",$I10&lt;&gt;"",$H10&lt;=AA$4+6,$I10&gt;=AA$4),1,"")</f>
        <v/>
      </c>
      <c r="AB10" s="78">
        <f>IF(AND($H10&lt;&gt;"",$I10&lt;&gt;"",$H10&lt;=AB$4+6,$I10&gt;=AB$4),1,"")</f>
        <v/>
      </c>
      <c r="AC10" s="78">
        <f>IF(AND($H10&lt;&gt;"",$I10&lt;&gt;"",$H10&lt;=AC$4+6,$I10&gt;=AC$4),1,"")</f>
        <v/>
      </c>
      <c r="AD10" s="78">
        <f>IF(AND($H10&lt;&gt;"",$I10&lt;&gt;"",$H10&lt;=AD$4+6,$I10&gt;=AD$4),1,"")</f>
        <v/>
      </c>
      <c r="AE10" s="78">
        <f>IF(AND($H10&lt;&gt;"",$I10&lt;&gt;"",$H10&lt;=AE$4+6,$I10&gt;=AE$4),1,"")</f>
        <v/>
      </c>
      <c r="AF10" s="78">
        <f>IF(AND($H10&lt;&gt;"",$I10&lt;&gt;"",$H10&lt;=AF$4+6,$I10&gt;=AF$4),1,"")</f>
        <v/>
      </c>
      <c r="AG10" s="78">
        <f>IF(AND($H10&lt;&gt;"",$I10&lt;&gt;"",$H10&lt;=AG$4+6,$I10&gt;=AG$4),1,"")</f>
        <v/>
      </c>
      <c r="AH10" s="78">
        <f>IF(AND($H10&lt;&gt;"",$I10&lt;&gt;"",$H10&lt;=AH$4+6,$I10&gt;=AH$4),1,"")</f>
        <v/>
      </c>
      <c r="AI10" s="78">
        <f>IF(AND($H10&lt;&gt;"",$I10&lt;&gt;"",$H10&lt;=AI$4+6,$I10&gt;=AI$4),1,"")</f>
        <v/>
      </c>
      <c r="AJ10" s="78">
        <f>IF(AND($H10&lt;&gt;"",$I10&lt;&gt;"",$H10&lt;=AJ$4+6,$I10&gt;=AJ$4),1,"")</f>
        <v/>
      </c>
      <c r="AK10" s="78">
        <f>IF(AND($H10&lt;&gt;"",$I10&lt;&gt;"",$H10&lt;=AK$4+6,$I10&gt;=AK$4),1,"")</f>
        <v/>
      </c>
      <c r="AL10" s="78">
        <f>IF(AND($H10&lt;&gt;"",$I10&lt;&gt;"",$H10&lt;=AL$4+6,$I10&gt;=AL$4),1,"")</f>
        <v/>
      </c>
      <c r="AM10" s="78">
        <f>IF(AND($H10&lt;&gt;"",$I10&lt;&gt;"",$H10&lt;=AM$4+6,$I10&gt;=AM$4),1,"")</f>
        <v/>
      </c>
      <c r="AN10" s="78">
        <f>IF(AND($H10&lt;&gt;"",$I10&lt;&gt;"",$H10&lt;=AN$4+6,$I10&gt;=AN$4),1,"")</f>
        <v/>
      </c>
      <c r="AO10" s="78">
        <f>IF(AND($H10&lt;&gt;"",$I10&lt;&gt;"",$H10&lt;=AO$4+6,$I10&gt;=AO$4),1,"")</f>
        <v/>
      </c>
    </row>
    <row r="11" ht="28" customHeight="1">
      <c r="A11" s="65" t="inlineStr">
        <is>
          <t>7.0</t>
        </is>
      </c>
      <c r="B11" s="65" t="inlineStr">
        <is>
          <t>ERP Implementation</t>
        </is>
      </c>
      <c r="C11" s="65" t="inlineStr">
        <is>
          <t>Test</t>
        </is>
      </c>
      <c r="D11" s="65" t="inlineStr">
        <is>
          <t>User acceptance testing</t>
        </is>
      </c>
      <c r="E11" s="65" t="inlineStr">
        <is>
          <t>UAT sign-off</t>
        </is>
      </c>
      <c r="F11" s="65" t="inlineStr">
        <is>
          <t>Maria Silva</t>
        </is>
      </c>
      <c r="G11" s="65" t="inlineStr">
        <is>
          <t>6.0</t>
        </is>
      </c>
      <c r="H11" s="66" t="n">
        <v>46349</v>
      </c>
      <c r="I11" s="66" t="n">
        <v>46360</v>
      </c>
      <c r="J11" s="66" t="n">
        <v>46342</v>
      </c>
      <c r="K11" s="66" t="n">
        <v>46353</v>
      </c>
      <c r="L11" s="69">
        <f>IF(OR(H11="",I11=""),"",I11-H11+1)</f>
        <v/>
      </c>
      <c r="M11" s="67" t="n">
        <v>0</v>
      </c>
      <c r="N11" s="65" t="inlineStr">
        <is>
          <t>Not Started</t>
        </is>
      </c>
      <c r="O11" s="69">
        <f>IF(OR(I11="",K11=""),"",I11-K11)</f>
        <v/>
      </c>
      <c r="P11" s="65" t="inlineStr">
        <is>
          <t>Yes</t>
        </is>
      </c>
      <c r="Q11" s="70" t="inlineStr">
        <is>
          <t>SAMPLE</t>
        </is>
      </c>
      <c r="R11" s="78">
        <f>IF(AND($H11&lt;&gt;"",$I11&lt;&gt;"",$H11&lt;=R$4+6,$I11&gt;=R$4),1,"")</f>
        <v/>
      </c>
      <c r="S11" s="78">
        <f>IF(AND($H11&lt;&gt;"",$I11&lt;&gt;"",$H11&lt;=S$4+6,$I11&gt;=S$4),1,"")</f>
        <v/>
      </c>
      <c r="T11" s="78">
        <f>IF(AND($H11&lt;&gt;"",$I11&lt;&gt;"",$H11&lt;=T$4+6,$I11&gt;=T$4),1,"")</f>
        <v/>
      </c>
      <c r="U11" s="78">
        <f>IF(AND($H11&lt;&gt;"",$I11&lt;&gt;"",$H11&lt;=U$4+6,$I11&gt;=U$4),1,"")</f>
        <v/>
      </c>
      <c r="V11" s="78">
        <f>IF(AND($H11&lt;&gt;"",$I11&lt;&gt;"",$H11&lt;=V$4+6,$I11&gt;=V$4),1,"")</f>
        <v/>
      </c>
      <c r="W11" s="78">
        <f>IF(AND($H11&lt;&gt;"",$I11&lt;&gt;"",$H11&lt;=W$4+6,$I11&gt;=W$4),1,"")</f>
        <v/>
      </c>
      <c r="X11" s="78">
        <f>IF(AND($H11&lt;&gt;"",$I11&lt;&gt;"",$H11&lt;=X$4+6,$I11&gt;=X$4),1,"")</f>
        <v/>
      </c>
      <c r="Y11" s="78">
        <f>IF(AND($H11&lt;&gt;"",$I11&lt;&gt;"",$H11&lt;=Y$4+6,$I11&gt;=Y$4),1,"")</f>
        <v/>
      </c>
      <c r="Z11" s="78">
        <f>IF(AND($H11&lt;&gt;"",$I11&lt;&gt;"",$H11&lt;=Z$4+6,$I11&gt;=Z$4),1,"")</f>
        <v/>
      </c>
      <c r="AA11" s="78">
        <f>IF(AND($H11&lt;&gt;"",$I11&lt;&gt;"",$H11&lt;=AA$4+6,$I11&gt;=AA$4),1,"")</f>
        <v/>
      </c>
      <c r="AB11" s="78">
        <f>IF(AND($H11&lt;&gt;"",$I11&lt;&gt;"",$H11&lt;=AB$4+6,$I11&gt;=AB$4),1,"")</f>
        <v/>
      </c>
      <c r="AC11" s="78">
        <f>IF(AND($H11&lt;&gt;"",$I11&lt;&gt;"",$H11&lt;=AC$4+6,$I11&gt;=AC$4),1,"")</f>
        <v/>
      </c>
      <c r="AD11" s="78">
        <f>IF(AND($H11&lt;&gt;"",$I11&lt;&gt;"",$H11&lt;=AD$4+6,$I11&gt;=AD$4),1,"")</f>
        <v/>
      </c>
      <c r="AE11" s="78">
        <f>IF(AND($H11&lt;&gt;"",$I11&lt;&gt;"",$H11&lt;=AE$4+6,$I11&gt;=AE$4),1,"")</f>
        <v/>
      </c>
      <c r="AF11" s="78">
        <f>IF(AND($H11&lt;&gt;"",$I11&lt;&gt;"",$H11&lt;=AF$4+6,$I11&gt;=AF$4),1,"")</f>
        <v/>
      </c>
      <c r="AG11" s="78">
        <f>IF(AND($H11&lt;&gt;"",$I11&lt;&gt;"",$H11&lt;=AG$4+6,$I11&gt;=AG$4),1,"")</f>
        <v/>
      </c>
      <c r="AH11" s="78">
        <f>IF(AND($H11&lt;&gt;"",$I11&lt;&gt;"",$H11&lt;=AH$4+6,$I11&gt;=AH$4),1,"")</f>
        <v/>
      </c>
      <c r="AI11" s="78">
        <f>IF(AND($H11&lt;&gt;"",$I11&lt;&gt;"",$H11&lt;=AI$4+6,$I11&gt;=AI$4),1,"")</f>
        <v/>
      </c>
      <c r="AJ11" s="78">
        <f>IF(AND($H11&lt;&gt;"",$I11&lt;&gt;"",$H11&lt;=AJ$4+6,$I11&gt;=AJ$4),1,"")</f>
        <v/>
      </c>
      <c r="AK11" s="78">
        <f>IF(AND($H11&lt;&gt;"",$I11&lt;&gt;"",$H11&lt;=AK$4+6,$I11&gt;=AK$4),1,"")</f>
        <v/>
      </c>
      <c r="AL11" s="78">
        <f>IF(AND($H11&lt;&gt;"",$I11&lt;&gt;"",$H11&lt;=AL$4+6,$I11&gt;=AL$4),1,"")</f>
        <v/>
      </c>
      <c r="AM11" s="78">
        <f>IF(AND($H11&lt;&gt;"",$I11&lt;&gt;"",$H11&lt;=AM$4+6,$I11&gt;=AM$4),1,"")</f>
        <v/>
      </c>
      <c r="AN11" s="78">
        <f>IF(AND($H11&lt;&gt;"",$I11&lt;&gt;"",$H11&lt;=AN$4+6,$I11&gt;=AN$4),1,"")</f>
        <v/>
      </c>
      <c r="AO11" s="78">
        <f>IF(AND($H11&lt;&gt;"",$I11&lt;&gt;"",$H11&lt;=AO$4+6,$I11&gt;=AO$4),1,"")</f>
        <v/>
      </c>
    </row>
    <row r="12" ht="28" customHeight="1">
      <c r="A12" s="65" t="inlineStr">
        <is>
          <t>8.0</t>
        </is>
      </c>
      <c r="B12" s="65" t="inlineStr">
        <is>
          <t>ERP Implementation</t>
        </is>
      </c>
      <c r="C12" s="65" t="inlineStr">
        <is>
          <t>Deployment</t>
        </is>
      </c>
      <c r="D12" s="65" t="inlineStr">
        <is>
          <t>Go-live preparation</t>
        </is>
      </c>
      <c r="E12" s="65" t="inlineStr">
        <is>
          <t>Cutover plan</t>
        </is>
      </c>
      <c r="F12" s="65" t="inlineStr">
        <is>
          <t>Tom Becker</t>
        </is>
      </c>
      <c r="G12" s="65" t="inlineStr">
        <is>
          <t>7.0</t>
        </is>
      </c>
      <c r="H12" s="66" t="n">
        <v>46363</v>
      </c>
      <c r="I12" s="66" t="n">
        <v>46371</v>
      </c>
      <c r="J12" s="66" t="n">
        <v>46356</v>
      </c>
      <c r="K12" s="66" t="n">
        <v>46367</v>
      </c>
      <c r="L12" s="69">
        <f>IF(OR(H12="",I12=""),"",I12-H12+1)</f>
        <v/>
      </c>
      <c r="M12" s="67" t="n">
        <v>0</v>
      </c>
      <c r="N12" s="65" t="inlineStr">
        <is>
          <t>Not Started</t>
        </is>
      </c>
      <c r="O12" s="69">
        <f>IF(OR(I12="",K12=""),"",I12-K12)</f>
        <v/>
      </c>
      <c r="P12" s="65" t="inlineStr">
        <is>
          <t>No</t>
        </is>
      </c>
      <c r="Q12" s="70" t="inlineStr">
        <is>
          <t>SAMPLE</t>
        </is>
      </c>
      <c r="R12" s="78">
        <f>IF(AND($H12&lt;&gt;"",$I12&lt;&gt;"",$H12&lt;=R$4+6,$I12&gt;=R$4),1,"")</f>
        <v/>
      </c>
      <c r="S12" s="78">
        <f>IF(AND($H12&lt;&gt;"",$I12&lt;&gt;"",$H12&lt;=S$4+6,$I12&gt;=S$4),1,"")</f>
        <v/>
      </c>
      <c r="T12" s="78">
        <f>IF(AND($H12&lt;&gt;"",$I12&lt;&gt;"",$H12&lt;=T$4+6,$I12&gt;=T$4),1,"")</f>
        <v/>
      </c>
      <c r="U12" s="78">
        <f>IF(AND($H12&lt;&gt;"",$I12&lt;&gt;"",$H12&lt;=U$4+6,$I12&gt;=U$4),1,"")</f>
        <v/>
      </c>
      <c r="V12" s="78">
        <f>IF(AND($H12&lt;&gt;"",$I12&lt;&gt;"",$H12&lt;=V$4+6,$I12&gt;=V$4),1,"")</f>
        <v/>
      </c>
      <c r="W12" s="78">
        <f>IF(AND($H12&lt;&gt;"",$I12&lt;&gt;"",$H12&lt;=W$4+6,$I12&gt;=W$4),1,"")</f>
        <v/>
      </c>
      <c r="X12" s="78">
        <f>IF(AND($H12&lt;&gt;"",$I12&lt;&gt;"",$H12&lt;=X$4+6,$I12&gt;=X$4),1,"")</f>
        <v/>
      </c>
      <c r="Y12" s="78">
        <f>IF(AND($H12&lt;&gt;"",$I12&lt;&gt;"",$H12&lt;=Y$4+6,$I12&gt;=Y$4),1,"")</f>
        <v/>
      </c>
      <c r="Z12" s="78">
        <f>IF(AND($H12&lt;&gt;"",$I12&lt;&gt;"",$H12&lt;=Z$4+6,$I12&gt;=Z$4),1,"")</f>
        <v/>
      </c>
      <c r="AA12" s="78">
        <f>IF(AND($H12&lt;&gt;"",$I12&lt;&gt;"",$H12&lt;=AA$4+6,$I12&gt;=AA$4),1,"")</f>
        <v/>
      </c>
      <c r="AB12" s="78">
        <f>IF(AND($H12&lt;&gt;"",$I12&lt;&gt;"",$H12&lt;=AB$4+6,$I12&gt;=AB$4),1,"")</f>
        <v/>
      </c>
      <c r="AC12" s="78">
        <f>IF(AND($H12&lt;&gt;"",$I12&lt;&gt;"",$H12&lt;=AC$4+6,$I12&gt;=AC$4),1,"")</f>
        <v/>
      </c>
      <c r="AD12" s="78">
        <f>IF(AND($H12&lt;&gt;"",$I12&lt;&gt;"",$H12&lt;=AD$4+6,$I12&gt;=AD$4),1,"")</f>
        <v/>
      </c>
      <c r="AE12" s="78">
        <f>IF(AND($H12&lt;&gt;"",$I12&lt;&gt;"",$H12&lt;=AE$4+6,$I12&gt;=AE$4),1,"")</f>
        <v/>
      </c>
      <c r="AF12" s="78">
        <f>IF(AND($H12&lt;&gt;"",$I12&lt;&gt;"",$H12&lt;=AF$4+6,$I12&gt;=AF$4),1,"")</f>
        <v/>
      </c>
      <c r="AG12" s="78">
        <f>IF(AND($H12&lt;&gt;"",$I12&lt;&gt;"",$H12&lt;=AG$4+6,$I12&gt;=AG$4),1,"")</f>
        <v/>
      </c>
      <c r="AH12" s="78">
        <f>IF(AND($H12&lt;&gt;"",$I12&lt;&gt;"",$H12&lt;=AH$4+6,$I12&gt;=AH$4),1,"")</f>
        <v/>
      </c>
      <c r="AI12" s="78">
        <f>IF(AND($H12&lt;&gt;"",$I12&lt;&gt;"",$H12&lt;=AI$4+6,$I12&gt;=AI$4),1,"")</f>
        <v/>
      </c>
      <c r="AJ12" s="78">
        <f>IF(AND($H12&lt;&gt;"",$I12&lt;&gt;"",$H12&lt;=AJ$4+6,$I12&gt;=AJ$4),1,"")</f>
        <v/>
      </c>
      <c r="AK12" s="78">
        <f>IF(AND($H12&lt;&gt;"",$I12&lt;&gt;"",$H12&lt;=AK$4+6,$I12&gt;=AK$4),1,"")</f>
        <v/>
      </c>
      <c r="AL12" s="78">
        <f>IF(AND($H12&lt;&gt;"",$I12&lt;&gt;"",$H12&lt;=AL$4+6,$I12&gt;=AL$4),1,"")</f>
        <v/>
      </c>
      <c r="AM12" s="78">
        <f>IF(AND($H12&lt;&gt;"",$I12&lt;&gt;"",$H12&lt;=AM$4+6,$I12&gt;=AM$4),1,"")</f>
        <v/>
      </c>
      <c r="AN12" s="78">
        <f>IF(AND($H12&lt;&gt;"",$I12&lt;&gt;"",$H12&lt;=AN$4+6,$I12&gt;=AN$4),1,"")</f>
        <v/>
      </c>
      <c r="AO12" s="78">
        <f>IF(AND($H12&lt;&gt;"",$I12&lt;&gt;"",$H12&lt;=AO$4+6,$I12&gt;=AO$4),1,"")</f>
        <v/>
      </c>
    </row>
    <row r="13" ht="28" customHeight="1">
      <c r="A13" s="65" t="inlineStr">
        <is>
          <t>9.0</t>
        </is>
      </c>
      <c r="B13" s="65" t="inlineStr">
        <is>
          <t>ERP Implementation</t>
        </is>
      </c>
      <c r="C13" s="65" t="inlineStr">
        <is>
          <t>Deployment</t>
        </is>
      </c>
      <c r="D13" s="65" t="inlineStr">
        <is>
          <t>Production go-live</t>
        </is>
      </c>
      <c r="E13" s="65" t="inlineStr">
        <is>
          <t>Live system</t>
        </is>
      </c>
      <c r="F13" s="65" t="inlineStr">
        <is>
          <t>Ahmed Khan</t>
        </is>
      </c>
      <c r="G13" s="65" t="inlineStr">
        <is>
          <t>8.0</t>
        </is>
      </c>
      <c r="H13" s="66" t="n">
        <v>46372</v>
      </c>
      <c r="I13" s="66" t="n">
        <v>46374</v>
      </c>
      <c r="J13" s="66" t="n">
        <v>46370</v>
      </c>
      <c r="K13" s="66" t="n">
        <v>46374</v>
      </c>
      <c r="L13" s="69">
        <f>IF(OR(H13="",I13=""),"",I13-H13+1)</f>
        <v/>
      </c>
      <c r="M13" s="67" t="n">
        <v>0</v>
      </c>
      <c r="N13" s="65" t="inlineStr">
        <is>
          <t>Not Started</t>
        </is>
      </c>
      <c r="O13" s="69">
        <f>IF(OR(I13="",K13=""),"",I13-K13)</f>
        <v/>
      </c>
      <c r="P13" s="65" t="inlineStr">
        <is>
          <t>Yes</t>
        </is>
      </c>
      <c r="Q13" s="70" t="inlineStr">
        <is>
          <t>SAMPLE</t>
        </is>
      </c>
      <c r="R13" s="78">
        <f>IF(AND($H13&lt;&gt;"",$I13&lt;&gt;"",$H13&lt;=R$4+6,$I13&gt;=R$4),1,"")</f>
        <v/>
      </c>
      <c r="S13" s="78">
        <f>IF(AND($H13&lt;&gt;"",$I13&lt;&gt;"",$H13&lt;=S$4+6,$I13&gt;=S$4),1,"")</f>
        <v/>
      </c>
      <c r="T13" s="78">
        <f>IF(AND($H13&lt;&gt;"",$I13&lt;&gt;"",$H13&lt;=T$4+6,$I13&gt;=T$4),1,"")</f>
        <v/>
      </c>
      <c r="U13" s="78">
        <f>IF(AND($H13&lt;&gt;"",$I13&lt;&gt;"",$H13&lt;=U$4+6,$I13&gt;=U$4),1,"")</f>
        <v/>
      </c>
      <c r="V13" s="78">
        <f>IF(AND($H13&lt;&gt;"",$I13&lt;&gt;"",$H13&lt;=V$4+6,$I13&gt;=V$4),1,"")</f>
        <v/>
      </c>
      <c r="W13" s="78">
        <f>IF(AND($H13&lt;&gt;"",$I13&lt;&gt;"",$H13&lt;=W$4+6,$I13&gt;=W$4),1,"")</f>
        <v/>
      </c>
      <c r="X13" s="78">
        <f>IF(AND($H13&lt;&gt;"",$I13&lt;&gt;"",$H13&lt;=X$4+6,$I13&gt;=X$4),1,"")</f>
        <v/>
      </c>
      <c r="Y13" s="78">
        <f>IF(AND($H13&lt;&gt;"",$I13&lt;&gt;"",$H13&lt;=Y$4+6,$I13&gt;=Y$4),1,"")</f>
        <v/>
      </c>
      <c r="Z13" s="78">
        <f>IF(AND($H13&lt;&gt;"",$I13&lt;&gt;"",$H13&lt;=Z$4+6,$I13&gt;=Z$4),1,"")</f>
        <v/>
      </c>
      <c r="AA13" s="78">
        <f>IF(AND($H13&lt;&gt;"",$I13&lt;&gt;"",$H13&lt;=AA$4+6,$I13&gt;=AA$4),1,"")</f>
        <v/>
      </c>
      <c r="AB13" s="78">
        <f>IF(AND($H13&lt;&gt;"",$I13&lt;&gt;"",$H13&lt;=AB$4+6,$I13&gt;=AB$4),1,"")</f>
        <v/>
      </c>
      <c r="AC13" s="78">
        <f>IF(AND($H13&lt;&gt;"",$I13&lt;&gt;"",$H13&lt;=AC$4+6,$I13&gt;=AC$4),1,"")</f>
        <v/>
      </c>
      <c r="AD13" s="78">
        <f>IF(AND($H13&lt;&gt;"",$I13&lt;&gt;"",$H13&lt;=AD$4+6,$I13&gt;=AD$4),1,"")</f>
        <v/>
      </c>
      <c r="AE13" s="78">
        <f>IF(AND($H13&lt;&gt;"",$I13&lt;&gt;"",$H13&lt;=AE$4+6,$I13&gt;=AE$4),1,"")</f>
        <v/>
      </c>
      <c r="AF13" s="78">
        <f>IF(AND($H13&lt;&gt;"",$I13&lt;&gt;"",$H13&lt;=AF$4+6,$I13&gt;=AF$4),1,"")</f>
        <v/>
      </c>
      <c r="AG13" s="78">
        <f>IF(AND($H13&lt;&gt;"",$I13&lt;&gt;"",$H13&lt;=AG$4+6,$I13&gt;=AG$4),1,"")</f>
        <v/>
      </c>
      <c r="AH13" s="78">
        <f>IF(AND($H13&lt;&gt;"",$I13&lt;&gt;"",$H13&lt;=AH$4+6,$I13&gt;=AH$4),1,"")</f>
        <v/>
      </c>
      <c r="AI13" s="78">
        <f>IF(AND($H13&lt;&gt;"",$I13&lt;&gt;"",$H13&lt;=AI$4+6,$I13&gt;=AI$4),1,"")</f>
        <v/>
      </c>
      <c r="AJ13" s="78">
        <f>IF(AND($H13&lt;&gt;"",$I13&lt;&gt;"",$H13&lt;=AJ$4+6,$I13&gt;=AJ$4),1,"")</f>
        <v/>
      </c>
      <c r="AK13" s="78">
        <f>IF(AND($H13&lt;&gt;"",$I13&lt;&gt;"",$H13&lt;=AK$4+6,$I13&gt;=AK$4),1,"")</f>
        <v/>
      </c>
      <c r="AL13" s="78">
        <f>IF(AND($H13&lt;&gt;"",$I13&lt;&gt;"",$H13&lt;=AL$4+6,$I13&gt;=AL$4),1,"")</f>
        <v/>
      </c>
      <c r="AM13" s="78">
        <f>IF(AND($H13&lt;&gt;"",$I13&lt;&gt;"",$H13&lt;=AM$4+6,$I13&gt;=AM$4),1,"")</f>
        <v/>
      </c>
      <c r="AN13" s="78">
        <f>IF(AND($H13&lt;&gt;"",$I13&lt;&gt;"",$H13&lt;=AN$4+6,$I13&gt;=AN$4),1,"")</f>
        <v/>
      </c>
      <c r="AO13" s="78">
        <f>IF(AND($H13&lt;&gt;"",$I13&lt;&gt;"",$H13&lt;=AO$4+6,$I13&gt;=AO$4),1,"")</f>
        <v/>
      </c>
    </row>
    <row r="14" ht="28" customHeight="1">
      <c r="A14" s="65" t="inlineStr">
        <is>
          <t>10.0</t>
        </is>
      </c>
      <c r="B14" s="65" t="inlineStr">
        <is>
          <t>ERP Implementation</t>
        </is>
      </c>
      <c r="C14" s="65" t="inlineStr">
        <is>
          <t>Closure</t>
        </is>
      </c>
      <c r="D14" s="65" t="inlineStr">
        <is>
          <t>Handover and documentation</t>
        </is>
      </c>
      <c r="E14" s="65" t="inlineStr">
        <is>
          <t>O&amp;M manual</t>
        </is>
      </c>
      <c r="F14" s="65" t="inlineStr">
        <is>
          <t>Priya Raman</t>
        </is>
      </c>
      <c r="G14" s="65" t="inlineStr">
        <is>
          <t>9.0</t>
        </is>
      </c>
      <c r="H14" s="66" t="n">
        <v>46377</v>
      </c>
      <c r="I14" s="66" t="n">
        <v>46402</v>
      </c>
      <c r="J14" s="66" t="n">
        <v>46377</v>
      </c>
      <c r="K14" s="66" t="n">
        <v>46402</v>
      </c>
      <c r="L14" s="69">
        <f>IF(OR(H14="",I14=""),"",I14-H14+1)</f>
        <v/>
      </c>
      <c r="M14" s="67" t="n">
        <v>0</v>
      </c>
      <c r="N14" s="65" t="inlineStr">
        <is>
          <t>Not Started</t>
        </is>
      </c>
      <c r="O14" s="69">
        <f>IF(OR(I14="",K14=""),"",I14-K14)</f>
        <v/>
      </c>
      <c r="P14" s="65" t="inlineStr">
        <is>
          <t>Yes</t>
        </is>
      </c>
      <c r="Q14" s="70" t="inlineStr">
        <is>
          <t>SAMPLE</t>
        </is>
      </c>
      <c r="R14" s="78">
        <f>IF(AND($H14&lt;&gt;"",$I14&lt;&gt;"",$H14&lt;=R$4+6,$I14&gt;=R$4),1,"")</f>
        <v/>
      </c>
      <c r="S14" s="78">
        <f>IF(AND($H14&lt;&gt;"",$I14&lt;&gt;"",$H14&lt;=S$4+6,$I14&gt;=S$4),1,"")</f>
        <v/>
      </c>
      <c r="T14" s="78">
        <f>IF(AND($H14&lt;&gt;"",$I14&lt;&gt;"",$H14&lt;=T$4+6,$I14&gt;=T$4),1,"")</f>
        <v/>
      </c>
      <c r="U14" s="78">
        <f>IF(AND($H14&lt;&gt;"",$I14&lt;&gt;"",$H14&lt;=U$4+6,$I14&gt;=U$4),1,"")</f>
        <v/>
      </c>
      <c r="V14" s="78">
        <f>IF(AND($H14&lt;&gt;"",$I14&lt;&gt;"",$H14&lt;=V$4+6,$I14&gt;=V$4),1,"")</f>
        <v/>
      </c>
      <c r="W14" s="78">
        <f>IF(AND($H14&lt;&gt;"",$I14&lt;&gt;"",$H14&lt;=W$4+6,$I14&gt;=W$4),1,"")</f>
        <v/>
      </c>
      <c r="X14" s="78">
        <f>IF(AND($H14&lt;&gt;"",$I14&lt;&gt;"",$H14&lt;=X$4+6,$I14&gt;=X$4),1,"")</f>
        <v/>
      </c>
      <c r="Y14" s="78">
        <f>IF(AND($H14&lt;&gt;"",$I14&lt;&gt;"",$H14&lt;=Y$4+6,$I14&gt;=Y$4),1,"")</f>
        <v/>
      </c>
      <c r="Z14" s="78">
        <f>IF(AND($H14&lt;&gt;"",$I14&lt;&gt;"",$H14&lt;=Z$4+6,$I14&gt;=Z$4),1,"")</f>
        <v/>
      </c>
      <c r="AA14" s="78">
        <f>IF(AND($H14&lt;&gt;"",$I14&lt;&gt;"",$H14&lt;=AA$4+6,$I14&gt;=AA$4),1,"")</f>
        <v/>
      </c>
      <c r="AB14" s="78">
        <f>IF(AND($H14&lt;&gt;"",$I14&lt;&gt;"",$H14&lt;=AB$4+6,$I14&gt;=AB$4),1,"")</f>
        <v/>
      </c>
      <c r="AC14" s="78">
        <f>IF(AND($H14&lt;&gt;"",$I14&lt;&gt;"",$H14&lt;=AC$4+6,$I14&gt;=AC$4),1,"")</f>
        <v/>
      </c>
      <c r="AD14" s="78">
        <f>IF(AND($H14&lt;&gt;"",$I14&lt;&gt;"",$H14&lt;=AD$4+6,$I14&gt;=AD$4),1,"")</f>
        <v/>
      </c>
      <c r="AE14" s="78">
        <f>IF(AND($H14&lt;&gt;"",$I14&lt;&gt;"",$H14&lt;=AE$4+6,$I14&gt;=AE$4),1,"")</f>
        <v/>
      </c>
      <c r="AF14" s="78">
        <f>IF(AND($H14&lt;&gt;"",$I14&lt;&gt;"",$H14&lt;=AF$4+6,$I14&gt;=AF$4),1,"")</f>
        <v/>
      </c>
      <c r="AG14" s="78">
        <f>IF(AND($H14&lt;&gt;"",$I14&lt;&gt;"",$H14&lt;=AG$4+6,$I14&gt;=AG$4),1,"")</f>
        <v/>
      </c>
      <c r="AH14" s="78">
        <f>IF(AND($H14&lt;&gt;"",$I14&lt;&gt;"",$H14&lt;=AH$4+6,$I14&gt;=AH$4),1,"")</f>
        <v/>
      </c>
      <c r="AI14" s="78">
        <f>IF(AND($H14&lt;&gt;"",$I14&lt;&gt;"",$H14&lt;=AI$4+6,$I14&gt;=AI$4),1,"")</f>
        <v/>
      </c>
      <c r="AJ14" s="78">
        <f>IF(AND($H14&lt;&gt;"",$I14&lt;&gt;"",$H14&lt;=AJ$4+6,$I14&gt;=AJ$4),1,"")</f>
        <v/>
      </c>
      <c r="AK14" s="78">
        <f>IF(AND($H14&lt;&gt;"",$I14&lt;&gt;"",$H14&lt;=AK$4+6,$I14&gt;=AK$4),1,"")</f>
        <v/>
      </c>
      <c r="AL14" s="78">
        <f>IF(AND($H14&lt;&gt;"",$I14&lt;&gt;"",$H14&lt;=AL$4+6,$I14&gt;=AL$4),1,"")</f>
        <v/>
      </c>
      <c r="AM14" s="78">
        <f>IF(AND($H14&lt;&gt;"",$I14&lt;&gt;"",$H14&lt;=AM$4+6,$I14&gt;=AM$4),1,"")</f>
        <v/>
      </c>
      <c r="AN14" s="78">
        <f>IF(AND($H14&lt;&gt;"",$I14&lt;&gt;"",$H14&lt;=AN$4+6,$I14&gt;=AN$4),1,"")</f>
        <v/>
      </c>
      <c r="AO14" s="78">
        <f>IF(AND($H14&lt;&gt;"",$I14&lt;&gt;"",$H14&lt;=AO$4+6,$I14&gt;=AO$4),1,"")</f>
        <v/>
      </c>
    </row>
    <row r="15" ht="28" customHeight="1">
      <c r="A15" s="65" t="inlineStr">
        <is>
          <t>1.0</t>
        </is>
      </c>
      <c r="B15" s="65" t="inlineStr">
        <is>
          <t>Network Infrastructure Upgrade</t>
        </is>
      </c>
      <c r="C15" s="65" t="inlineStr">
        <is>
          <t>Initiation</t>
        </is>
      </c>
      <c r="D15" s="65" t="inlineStr">
        <is>
          <t>Site survey and design</t>
        </is>
      </c>
      <c r="E15" s="65" t="inlineStr">
        <is>
          <t>Survey report</t>
        </is>
      </c>
      <c r="F15" s="65" t="inlineStr">
        <is>
          <t>Lisa Chen</t>
        </is>
      </c>
      <c r="G15" s="65" t="inlineStr"/>
      <c r="H15" s="66" t="n">
        <v>46249</v>
      </c>
      <c r="I15" s="66" t="n">
        <v>46262</v>
      </c>
      <c r="J15" s="66" t="n">
        <v>46249</v>
      </c>
      <c r="K15" s="66" t="n">
        <v>46262</v>
      </c>
      <c r="L15" s="69">
        <f>IF(OR(H15="",I15=""),"",I15-H15+1)</f>
        <v/>
      </c>
      <c r="M15" s="67" t="n">
        <v>1</v>
      </c>
      <c r="N15" s="65" t="inlineStr">
        <is>
          <t>Complete</t>
        </is>
      </c>
      <c r="O15" s="69">
        <f>IF(OR(I15="",K15=""),"",I15-K15)</f>
        <v/>
      </c>
      <c r="P15" s="65" t="inlineStr">
        <is>
          <t>Yes</t>
        </is>
      </c>
      <c r="Q15" s="70" t="inlineStr">
        <is>
          <t>SAMPLE</t>
        </is>
      </c>
      <c r="R15" s="78">
        <f>IF(AND($H15&lt;&gt;"",$I15&lt;&gt;"",$H15&lt;=R$4+6,$I15&gt;=R$4),1,"")</f>
        <v/>
      </c>
      <c r="S15" s="78">
        <f>IF(AND($H15&lt;&gt;"",$I15&lt;&gt;"",$H15&lt;=S$4+6,$I15&gt;=S$4),1,"")</f>
        <v/>
      </c>
      <c r="T15" s="78">
        <f>IF(AND($H15&lt;&gt;"",$I15&lt;&gt;"",$H15&lt;=T$4+6,$I15&gt;=T$4),1,"")</f>
        <v/>
      </c>
      <c r="U15" s="78">
        <f>IF(AND($H15&lt;&gt;"",$I15&lt;&gt;"",$H15&lt;=U$4+6,$I15&gt;=U$4),1,"")</f>
        <v/>
      </c>
      <c r="V15" s="78">
        <f>IF(AND($H15&lt;&gt;"",$I15&lt;&gt;"",$H15&lt;=V$4+6,$I15&gt;=V$4),1,"")</f>
        <v/>
      </c>
      <c r="W15" s="78">
        <f>IF(AND($H15&lt;&gt;"",$I15&lt;&gt;"",$H15&lt;=W$4+6,$I15&gt;=W$4),1,"")</f>
        <v/>
      </c>
      <c r="X15" s="78">
        <f>IF(AND($H15&lt;&gt;"",$I15&lt;&gt;"",$H15&lt;=X$4+6,$I15&gt;=X$4),1,"")</f>
        <v/>
      </c>
      <c r="Y15" s="78">
        <f>IF(AND($H15&lt;&gt;"",$I15&lt;&gt;"",$H15&lt;=Y$4+6,$I15&gt;=Y$4),1,"")</f>
        <v/>
      </c>
      <c r="Z15" s="78">
        <f>IF(AND($H15&lt;&gt;"",$I15&lt;&gt;"",$H15&lt;=Z$4+6,$I15&gt;=Z$4),1,"")</f>
        <v/>
      </c>
      <c r="AA15" s="78">
        <f>IF(AND($H15&lt;&gt;"",$I15&lt;&gt;"",$H15&lt;=AA$4+6,$I15&gt;=AA$4),1,"")</f>
        <v/>
      </c>
      <c r="AB15" s="78">
        <f>IF(AND($H15&lt;&gt;"",$I15&lt;&gt;"",$H15&lt;=AB$4+6,$I15&gt;=AB$4),1,"")</f>
        <v/>
      </c>
      <c r="AC15" s="78">
        <f>IF(AND($H15&lt;&gt;"",$I15&lt;&gt;"",$H15&lt;=AC$4+6,$I15&gt;=AC$4),1,"")</f>
        <v/>
      </c>
      <c r="AD15" s="78">
        <f>IF(AND($H15&lt;&gt;"",$I15&lt;&gt;"",$H15&lt;=AD$4+6,$I15&gt;=AD$4),1,"")</f>
        <v/>
      </c>
      <c r="AE15" s="78">
        <f>IF(AND($H15&lt;&gt;"",$I15&lt;&gt;"",$H15&lt;=AE$4+6,$I15&gt;=AE$4),1,"")</f>
        <v/>
      </c>
      <c r="AF15" s="78">
        <f>IF(AND($H15&lt;&gt;"",$I15&lt;&gt;"",$H15&lt;=AF$4+6,$I15&gt;=AF$4),1,"")</f>
        <v/>
      </c>
      <c r="AG15" s="78">
        <f>IF(AND($H15&lt;&gt;"",$I15&lt;&gt;"",$H15&lt;=AG$4+6,$I15&gt;=AG$4),1,"")</f>
        <v/>
      </c>
      <c r="AH15" s="78">
        <f>IF(AND($H15&lt;&gt;"",$I15&lt;&gt;"",$H15&lt;=AH$4+6,$I15&gt;=AH$4),1,"")</f>
        <v/>
      </c>
      <c r="AI15" s="78">
        <f>IF(AND($H15&lt;&gt;"",$I15&lt;&gt;"",$H15&lt;=AI$4+6,$I15&gt;=AI$4),1,"")</f>
        <v/>
      </c>
      <c r="AJ15" s="78">
        <f>IF(AND($H15&lt;&gt;"",$I15&lt;&gt;"",$H15&lt;=AJ$4+6,$I15&gt;=AJ$4),1,"")</f>
        <v/>
      </c>
      <c r="AK15" s="78">
        <f>IF(AND($H15&lt;&gt;"",$I15&lt;&gt;"",$H15&lt;=AK$4+6,$I15&gt;=AK$4),1,"")</f>
        <v/>
      </c>
      <c r="AL15" s="78">
        <f>IF(AND($H15&lt;&gt;"",$I15&lt;&gt;"",$H15&lt;=AL$4+6,$I15&gt;=AL$4),1,"")</f>
        <v/>
      </c>
      <c r="AM15" s="78">
        <f>IF(AND($H15&lt;&gt;"",$I15&lt;&gt;"",$H15&lt;=AM$4+6,$I15&gt;=AM$4),1,"")</f>
        <v/>
      </c>
      <c r="AN15" s="78">
        <f>IF(AND($H15&lt;&gt;"",$I15&lt;&gt;"",$H15&lt;=AN$4+6,$I15&gt;=AN$4),1,"")</f>
        <v/>
      </c>
      <c r="AO15" s="78">
        <f>IF(AND($H15&lt;&gt;"",$I15&lt;&gt;"",$H15&lt;=AO$4+6,$I15&gt;=AO$4),1,"")</f>
        <v/>
      </c>
    </row>
    <row r="16" ht="28" customHeight="1">
      <c r="A16" s="65" t="inlineStr">
        <is>
          <t>2.0</t>
        </is>
      </c>
      <c r="B16" s="65" t="inlineStr">
        <is>
          <t>Network Infrastructure Upgrade</t>
        </is>
      </c>
      <c r="C16" s="65" t="inlineStr">
        <is>
          <t>Procure</t>
        </is>
      </c>
      <c r="D16" s="65" t="inlineStr">
        <is>
          <t>Order switches and cabling</t>
        </is>
      </c>
      <c r="E16" s="65" t="inlineStr">
        <is>
          <t>Purchase order</t>
        </is>
      </c>
      <c r="F16" s="65" t="inlineStr">
        <is>
          <t>Lisa Chen</t>
        </is>
      </c>
      <c r="G16" s="65" t="inlineStr">
        <is>
          <t>1.0</t>
        </is>
      </c>
      <c r="H16" s="66" t="n">
        <v>46265</v>
      </c>
      <c r="I16" s="66" t="n">
        <v>46283</v>
      </c>
      <c r="J16" s="66" t="n">
        <v>46265</v>
      </c>
      <c r="K16" s="66" t="n">
        <v>46276</v>
      </c>
      <c r="L16" s="69">
        <f>IF(OR(H16="",I16=""),"",I16-H16+1)</f>
        <v/>
      </c>
      <c r="M16" s="67" t="n">
        <v>1</v>
      </c>
      <c r="N16" s="65" t="inlineStr">
        <is>
          <t>Complete</t>
        </is>
      </c>
      <c r="O16" s="69">
        <f>IF(OR(I16="",K16=""),"",I16-K16)</f>
        <v/>
      </c>
      <c r="P16" s="65" t="inlineStr">
        <is>
          <t>No</t>
        </is>
      </c>
      <c r="Q16" s="70" t="inlineStr">
        <is>
          <t>SAMPLE</t>
        </is>
      </c>
      <c r="R16" s="78">
        <f>IF(AND($H16&lt;&gt;"",$I16&lt;&gt;"",$H16&lt;=R$4+6,$I16&gt;=R$4),1,"")</f>
        <v/>
      </c>
      <c r="S16" s="78">
        <f>IF(AND($H16&lt;&gt;"",$I16&lt;&gt;"",$H16&lt;=S$4+6,$I16&gt;=S$4),1,"")</f>
        <v/>
      </c>
      <c r="T16" s="78">
        <f>IF(AND($H16&lt;&gt;"",$I16&lt;&gt;"",$H16&lt;=T$4+6,$I16&gt;=T$4),1,"")</f>
        <v/>
      </c>
      <c r="U16" s="78">
        <f>IF(AND($H16&lt;&gt;"",$I16&lt;&gt;"",$H16&lt;=U$4+6,$I16&gt;=U$4),1,"")</f>
        <v/>
      </c>
      <c r="V16" s="78">
        <f>IF(AND($H16&lt;&gt;"",$I16&lt;&gt;"",$H16&lt;=V$4+6,$I16&gt;=V$4),1,"")</f>
        <v/>
      </c>
      <c r="W16" s="78">
        <f>IF(AND($H16&lt;&gt;"",$I16&lt;&gt;"",$H16&lt;=W$4+6,$I16&gt;=W$4),1,"")</f>
        <v/>
      </c>
      <c r="X16" s="78">
        <f>IF(AND($H16&lt;&gt;"",$I16&lt;&gt;"",$H16&lt;=X$4+6,$I16&gt;=X$4),1,"")</f>
        <v/>
      </c>
      <c r="Y16" s="78">
        <f>IF(AND($H16&lt;&gt;"",$I16&lt;&gt;"",$H16&lt;=Y$4+6,$I16&gt;=Y$4),1,"")</f>
        <v/>
      </c>
      <c r="Z16" s="78">
        <f>IF(AND($H16&lt;&gt;"",$I16&lt;&gt;"",$H16&lt;=Z$4+6,$I16&gt;=Z$4),1,"")</f>
        <v/>
      </c>
      <c r="AA16" s="78">
        <f>IF(AND($H16&lt;&gt;"",$I16&lt;&gt;"",$H16&lt;=AA$4+6,$I16&gt;=AA$4),1,"")</f>
        <v/>
      </c>
      <c r="AB16" s="78">
        <f>IF(AND($H16&lt;&gt;"",$I16&lt;&gt;"",$H16&lt;=AB$4+6,$I16&gt;=AB$4),1,"")</f>
        <v/>
      </c>
      <c r="AC16" s="78">
        <f>IF(AND($H16&lt;&gt;"",$I16&lt;&gt;"",$H16&lt;=AC$4+6,$I16&gt;=AC$4),1,"")</f>
        <v/>
      </c>
      <c r="AD16" s="78">
        <f>IF(AND($H16&lt;&gt;"",$I16&lt;&gt;"",$H16&lt;=AD$4+6,$I16&gt;=AD$4),1,"")</f>
        <v/>
      </c>
      <c r="AE16" s="78">
        <f>IF(AND($H16&lt;&gt;"",$I16&lt;&gt;"",$H16&lt;=AE$4+6,$I16&gt;=AE$4),1,"")</f>
        <v/>
      </c>
      <c r="AF16" s="78">
        <f>IF(AND($H16&lt;&gt;"",$I16&lt;&gt;"",$H16&lt;=AF$4+6,$I16&gt;=AF$4),1,"")</f>
        <v/>
      </c>
      <c r="AG16" s="78">
        <f>IF(AND($H16&lt;&gt;"",$I16&lt;&gt;"",$H16&lt;=AG$4+6,$I16&gt;=AG$4),1,"")</f>
        <v/>
      </c>
      <c r="AH16" s="78">
        <f>IF(AND($H16&lt;&gt;"",$I16&lt;&gt;"",$H16&lt;=AH$4+6,$I16&gt;=AH$4),1,"")</f>
        <v/>
      </c>
      <c r="AI16" s="78">
        <f>IF(AND($H16&lt;&gt;"",$I16&lt;&gt;"",$H16&lt;=AI$4+6,$I16&gt;=AI$4),1,"")</f>
        <v/>
      </c>
      <c r="AJ16" s="78">
        <f>IF(AND($H16&lt;&gt;"",$I16&lt;&gt;"",$H16&lt;=AJ$4+6,$I16&gt;=AJ$4),1,"")</f>
        <v/>
      </c>
      <c r="AK16" s="78">
        <f>IF(AND($H16&lt;&gt;"",$I16&lt;&gt;"",$H16&lt;=AK$4+6,$I16&gt;=AK$4),1,"")</f>
        <v/>
      </c>
      <c r="AL16" s="78">
        <f>IF(AND($H16&lt;&gt;"",$I16&lt;&gt;"",$H16&lt;=AL$4+6,$I16&gt;=AL$4),1,"")</f>
        <v/>
      </c>
      <c r="AM16" s="78">
        <f>IF(AND($H16&lt;&gt;"",$I16&lt;&gt;"",$H16&lt;=AM$4+6,$I16&gt;=AM$4),1,"")</f>
        <v/>
      </c>
      <c r="AN16" s="78">
        <f>IF(AND($H16&lt;&gt;"",$I16&lt;&gt;"",$H16&lt;=AN$4+6,$I16&gt;=AN$4),1,"")</f>
        <v/>
      </c>
      <c r="AO16" s="78">
        <f>IF(AND($H16&lt;&gt;"",$I16&lt;&gt;"",$H16&lt;=AO$4+6,$I16&gt;=AO$4),1,"")</f>
        <v/>
      </c>
    </row>
    <row r="17" ht="28" customHeight="1">
      <c r="A17" s="65" t="inlineStr">
        <is>
          <t>3.0</t>
        </is>
      </c>
      <c r="B17" s="65" t="inlineStr">
        <is>
          <t>Network Infrastructure Upgrade</t>
        </is>
      </c>
      <c r="C17" s="65" t="inlineStr">
        <is>
          <t>Install</t>
        </is>
      </c>
      <c r="D17" s="65" t="inlineStr">
        <is>
          <t>Cabinet and switch installation</t>
        </is>
      </c>
      <c r="E17" s="65" t="inlineStr">
        <is>
          <t>Installed links</t>
        </is>
      </c>
      <c r="F17" s="65" t="inlineStr">
        <is>
          <t>Tom Becker</t>
        </is>
      </c>
      <c r="G17" s="65" t="inlineStr">
        <is>
          <t>2.0</t>
        </is>
      </c>
      <c r="H17" s="66" t="n">
        <v>46286</v>
      </c>
      <c r="I17" s="66" t="n">
        <v>46319</v>
      </c>
      <c r="J17" s="66" t="n">
        <v>46286</v>
      </c>
      <c r="K17" s="66" t="n">
        <v>46312</v>
      </c>
      <c r="L17" s="69">
        <f>IF(OR(H17="",I17=""),"",I17-H17+1)</f>
        <v/>
      </c>
      <c r="M17" s="67" t="n">
        <v>0.55</v>
      </c>
      <c r="N17" s="65" t="inlineStr">
        <is>
          <t>In Progress</t>
        </is>
      </c>
      <c r="O17" s="69">
        <f>IF(OR(I17="",K17=""),"",I17-K17)</f>
        <v/>
      </c>
      <c r="P17" s="65" t="inlineStr">
        <is>
          <t>No</t>
        </is>
      </c>
      <c r="Q17" s="70" t="inlineStr">
        <is>
          <t>SAMPLE</t>
        </is>
      </c>
      <c r="R17" s="78">
        <f>IF(AND($H17&lt;&gt;"",$I17&lt;&gt;"",$H17&lt;=R$4+6,$I17&gt;=R$4),1,"")</f>
        <v/>
      </c>
      <c r="S17" s="78">
        <f>IF(AND($H17&lt;&gt;"",$I17&lt;&gt;"",$H17&lt;=S$4+6,$I17&gt;=S$4),1,"")</f>
        <v/>
      </c>
      <c r="T17" s="78">
        <f>IF(AND($H17&lt;&gt;"",$I17&lt;&gt;"",$H17&lt;=T$4+6,$I17&gt;=T$4),1,"")</f>
        <v/>
      </c>
      <c r="U17" s="78">
        <f>IF(AND($H17&lt;&gt;"",$I17&lt;&gt;"",$H17&lt;=U$4+6,$I17&gt;=U$4),1,"")</f>
        <v/>
      </c>
      <c r="V17" s="78">
        <f>IF(AND($H17&lt;&gt;"",$I17&lt;&gt;"",$H17&lt;=V$4+6,$I17&gt;=V$4),1,"")</f>
        <v/>
      </c>
      <c r="W17" s="78">
        <f>IF(AND($H17&lt;&gt;"",$I17&lt;&gt;"",$H17&lt;=W$4+6,$I17&gt;=W$4),1,"")</f>
        <v/>
      </c>
      <c r="X17" s="78">
        <f>IF(AND($H17&lt;&gt;"",$I17&lt;&gt;"",$H17&lt;=X$4+6,$I17&gt;=X$4),1,"")</f>
        <v/>
      </c>
      <c r="Y17" s="78">
        <f>IF(AND($H17&lt;&gt;"",$I17&lt;&gt;"",$H17&lt;=Y$4+6,$I17&gt;=Y$4),1,"")</f>
        <v/>
      </c>
      <c r="Z17" s="78">
        <f>IF(AND($H17&lt;&gt;"",$I17&lt;&gt;"",$H17&lt;=Z$4+6,$I17&gt;=Z$4),1,"")</f>
        <v/>
      </c>
      <c r="AA17" s="78">
        <f>IF(AND($H17&lt;&gt;"",$I17&lt;&gt;"",$H17&lt;=AA$4+6,$I17&gt;=AA$4),1,"")</f>
        <v/>
      </c>
      <c r="AB17" s="78">
        <f>IF(AND($H17&lt;&gt;"",$I17&lt;&gt;"",$H17&lt;=AB$4+6,$I17&gt;=AB$4),1,"")</f>
        <v/>
      </c>
      <c r="AC17" s="78">
        <f>IF(AND($H17&lt;&gt;"",$I17&lt;&gt;"",$H17&lt;=AC$4+6,$I17&gt;=AC$4),1,"")</f>
        <v/>
      </c>
      <c r="AD17" s="78">
        <f>IF(AND($H17&lt;&gt;"",$I17&lt;&gt;"",$H17&lt;=AD$4+6,$I17&gt;=AD$4),1,"")</f>
        <v/>
      </c>
      <c r="AE17" s="78">
        <f>IF(AND($H17&lt;&gt;"",$I17&lt;&gt;"",$H17&lt;=AE$4+6,$I17&gt;=AE$4),1,"")</f>
        <v/>
      </c>
      <c r="AF17" s="78">
        <f>IF(AND($H17&lt;&gt;"",$I17&lt;&gt;"",$H17&lt;=AF$4+6,$I17&gt;=AF$4),1,"")</f>
        <v/>
      </c>
      <c r="AG17" s="78">
        <f>IF(AND($H17&lt;&gt;"",$I17&lt;&gt;"",$H17&lt;=AG$4+6,$I17&gt;=AG$4),1,"")</f>
        <v/>
      </c>
      <c r="AH17" s="78">
        <f>IF(AND($H17&lt;&gt;"",$I17&lt;&gt;"",$H17&lt;=AH$4+6,$I17&gt;=AH$4),1,"")</f>
        <v/>
      </c>
      <c r="AI17" s="78">
        <f>IF(AND($H17&lt;&gt;"",$I17&lt;&gt;"",$H17&lt;=AI$4+6,$I17&gt;=AI$4),1,"")</f>
        <v/>
      </c>
      <c r="AJ17" s="78">
        <f>IF(AND($H17&lt;&gt;"",$I17&lt;&gt;"",$H17&lt;=AJ$4+6,$I17&gt;=AJ$4),1,"")</f>
        <v/>
      </c>
      <c r="AK17" s="78">
        <f>IF(AND($H17&lt;&gt;"",$I17&lt;&gt;"",$H17&lt;=AK$4+6,$I17&gt;=AK$4),1,"")</f>
        <v/>
      </c>
      <c r="AL17" s="78">
        <f>IF(AND($H17&lt;&gt;"",$I17&lt;&gt;"",$H17&lt;=AL$4+6,$I17&gt;=AL$4),1,"")</f>
        <v/>
      </c>
      <c r="AM17" s="78">
        <f>IF(AND($H17&lt;&gt;"",$I17&lt;&gt;"",$H17&lt;=AM$4+6,$I17&gt;=AM$4),1,"")</f>
        <v/>
      </c>
      <c r="AN17" s="78">
        <f>IF(AND($H17&lt;&gt;"",$I17&lt;&gt;"",$H17&lt;=AN$4+6,$I17&gt;=AN$4),1,"")</f>
        <v/>
      </c>
      <c r="AO17" s="78">
        <f>IF(AND($H17&lt;&gt;"",$I17&lt;&gt;"",$H17&lt;=AO$4+6,$I17&gt;=AO$4),1,"")</f>
        <v/>
      </c>
    </row>
    <row r="18" ht="28" customHeight="1">
      <c r="A18" s="65" t="inlineStr">
        <is>
          <t>4.0</t>
        </is>
      </c>
      <c r="B18" s="65" t="inlineStr">
        <is>
          <t>Network Infrastructure Upgrade</t>
        </is>
      </c>
      <c r="C18" s="65" t="inlineStr">
        <is>
          <t>Test</t>
        </is>
      </c>
      <c r="D18" s="65" t="inlineStr">
        <is>
          <t>Network acceptance testing</t>
        </is>
      </c>
      <c r="E18" s="65" t="inlineStr">
        <is>
          <t>Test report</t>
        </is>
      </c>
      <c r="F18" s="65" t="inlineStr">
        <is>
          <t>Grace Alemu</t>
        </is>
      </c>
      <c r="G18" s="65" t="inlineStr">
        <is>
          <t>3.0</t>
        </is>
      </c>
      <c r="H18" s="66" t="n">
        <v>46321</v>
      </c>
      <c r="I18" s="66" t="n">
        <v>46339</v>
      </c>
      <c r="J18" s="66" t="n">
        <v>46314</v>
      </c>
      <c r="K18" s="66" t="n">
        <v>46332</v>
      </c>
      <c r="L18" s="69">
        <f>IF(OR(H18="",I18=""),"",I18-H18+1)</f>
        <v/>
      </c>
      <c r="M18" s="67" t="n">
        <v>0</v>
      </c>
      <c r="N18" s="65" t="inlineStr">
        <is>
          <t>Not Started</t>
        </is>
      </c>
      <c r="O18" s="69">
        <f>IF(OR(I18="",K18=""),"",I18-K18)</f>
        <v/>
      </c>
      <c r="P18" s="65" t="inlineStr">
        <is>
          <t>Yes</t>
        </is>
      </c>
      <c r="Q18" s="70" t="inlineStr">
        <is>
          <t>SAMPLE</t>
        </is>
      </c>
      <c r="R18" s="78">
        <f>IF(AND($H18&lt;&gt;"",$I18&lt;&gt;"",$H18&lt;=R$4+6,$I18&gt;=R$4),1,"")</f>
        <v/>
      </c>
      <c r="S18" s="78">
        <f>IF(AND($H18&lt;&gt;"",$I18&lt;&gt;"",$H18&lt;=S$4+6,$I18&gt;=S$4),1,"")</f>
        <v/>
      </c>
      <c r="T18" s="78">
        <f>IF(AND($H18&lt;&gt;"",$I18&lt;&gt;"",$H18&lt;=T$4+6,$I18&gt;=T$4),1,"")</f>
        <v/>
      </c>
      <c r="U18" s="78">
        <f>IF(AND($H18&lt;&gt;"",$I18&lt;&gt;"",$H18&lt;=U$4+6,$I18&gt;=U$4),1,"")</f>
        <v/>
      </c>
      <c r="V18" s="78">
        <f>IF(AND($H18&lt;&gt;"",$I18&lt;&gt;"",$H18&lt;=V$4+6,$I18&gt;=V$4),1,"")</f>
        <v/>
      </c>
      <c r="W18" s="78">
        <f>IF(AND($H18&lt;&gt;"",$I18&lt;&gt;"",$H18&lt;=W$4+6,$I18&gt;=W$4),1,"")</f>
        <v/>
      </c>
      <c r="X18" s="78">
        <f>IF(AND($H18&lt;&gt;"",$I18&lt;&gt;"",$H18&lt;=X$4+6,$I18&gt;=X$4),1,"")</f>
        <v/>
      </c>
      <c r="Y18" s="78">
        <f>IF(AND($H18&lt;&gt;"",$I18&lt;&gt;"",$H18&lt;=Y$4+6,$I18&gt;=Y$4),1,"")</f>
        <v/>
      </c>
      <c r="Z18" s="78">
        <f>IF(AND($H18&lt;&gt;"",$I18&lt;&gt;"",$H18&lt;=Z$4+6,$I18&gt;=Z$4),1,"")</f>
        <v/>
      </c>
      <c r="AA18" s="78">
        <f>IF(AND($H18&lt;&gt;"",$I18&lt;&gt;"",$H18&lt;=AA$4+6,$I18&gt;=AA$4),1,"")</f>
        <v/>
      </c>
      <c r="AB18" s="78">
        <f>IF(AND($H18&lt;&gt;"",$I18&lt;&gt;"",$H18&lt;=AB$4+6,$I18&gt;=AB$4),1,"")</f>
        <v/>
      </c>
      <c r="AC18" s="78">
        <f>IF(AND($H18&lt;&gt;"",$I18&lt;&gt;"",$H18&lt;=AC$4+6,$I18&gt;=AC$4),1,"")</f>
        <v/>
      </c>
      <c r="AD18" s="78">
        <f>IF(AND($H18&lt;&gt;"",$I18&lt;&gt;"",$H18&lt;=AD$4+6,$I18&gt;=AD$4),1,"")</f>
        <v/>
      </c>
      <c r="AE18" s="78">
        <f>IF(AND($H18&lt;&gt;"",$I18&lt;&gt;"",$H18&lt;=AE$4+6,$I18&gt;=AE$4),1,"")</f>
        <v/>
      </c>
      <c r="AF18" s="78">
        <f>IF(AND($H18&lt;&gt;"",$I18&lt;&gt;"",$H18&lt;=AF$4+6,$I18&gt;=AF$4),1,"")</f>
        <v/>
      </c>
      <c r="AG18" s="78">
        <f>IF(AND($H18&lt;&gt;"",$I18&lt;&gt;"",$H18&lt;=AG$4+6,$I18&gt;=AG$4),1,"")</f>
        <v/>
      </c>
      <c r="AH18" s="78">
        <f>IF(AND($H18&lt;&gt;"",$I18&lt;&gt;"",$H18&lt;=AH$4+6,$I18&gt;=AH$4),1,"")</f>
        <v/>
      </c>
      <c r="AI18" s="78">
        <f>IF(AND($H18&lt;&gt;"",$I18&lt;&gt;"",$H18&lt;=AI$4+6,$I18&gt;=AI$4),1,"")</f>
        <v/>
      </c>
      <c r="AJ18" s="78">
        <f>IF(AND($H18&lt;&gt;"",$I18&lt;&gt;"",$H18&lt;=AJ$4+6,$I18&gt;=AJ$4),1,"")</f>
        <v/>
      </c>
      <c r="AK18" s="78">
        <f>IF(AND($H18&lt;&gt;"",$I18&lt;&gt;"",$H18&lt;=AK$4+6,$I18&gt;=AK$4),1,"")</f>
        <v/>
      </c>
      <c r="AL18" s="78">
        <f>IF(AND($H18&lt;&gt;"",$I18&lt;&gt;"",$H18&lt;=AL$4+6,$I18&gt;=AL$4),1,"")</f>
        <v/>
      </c>
      <c r="AM18" s="78">
        <f>IF(AND($H18&lt;&gt;"",$I18&lt;&gt;"",$H18&lt;=AM$4+6,$I18&gt;=AM$4),1,"")</f>
        <v/>
      </c>
      <c r="AN18" s="78">
        <f>IF(AND($H18&lt;&gt;"",$I18&lt;&gt;"",$H18&lt;=AN$4+6,$I18&gt;=AN$4),1,"")</f>
        <v/>
      </c>
      <c r="AO18" s="78">
        <f>IF(AND($H18&lt;&gt;"",$I18&lt;&gt;"",$H18&lt;=AO$4+6,$I18&gt;=AO$4),1,"")</f>
        <v/>
      </c>
    </row>
    <row r="19" ht="28" customHeight="1">
      <c r="A19" s="65" t="inlineStr">
        <is>
          <t>5.0</t>
        </is>
      </c>
      <c r="B19" s="65" t="inlineStr">
        <is>
          <t>Network Infrastructure Upgrade</t>
        </is>
      </c>
      <c r="C19" s="65" t="inlineStr">
        <is>
          <t>Deploy</t>
        </is>
      </c>
      <c r="D19" s="65" t="inlineStr">
        <is>
          <t>Cutover and handover</t>
        </is>
      </c>
      <c r="E19" s="65" t="inlineStr">
        <is>
          <t>Cutover note</t>
        </is>
      </c>
      <c r="F19" s="65" t="inlineStr">
        <is>
          <t>Lisa Chen</t>
        </is>
      </c>
      <c r="G19" s="65" t="inlineStr">
        <is>
          <t>4.0</t>
        </is>
      </c>
      <c r="H19" s="66" t="n">
        <v>46342</v>
      </c>
      <c r="I19" s="66" t="n">
        <v>46351</v>
      </c>
      <c r="J19" s="66" t="n">
        <v>46335</v>
      </c>
      <c r="K19" s="66" t="n">
        <v>46351</v>
      </c>
      <c r="L19" s="69">
        <f>IF(OR(H19="",I19=""),"",I19-H19+1)</f>
        <v/>
      </c>
      <c r="M19" s="67" t="n">
        <v>0</v>
      </c>
      <c r="N19" s="65" t="inlineStr">
        <is>
          <t>Not Started</t>
        </is>
      </c>
      <c r="O19" s="69">
        <f>IF(OR(I19="",K19=""),"",I19-K19)</f>
        <v/>
      </c>
      <c r="P19" s="65" t="inlineStr">
        <is>
          <t>Yes</t>
        </is>
      </c>
      <c r="Q19" s="70" t="inlineStr">
        <is>
          <t>SAMPLE</t>
        </is>
      </c>
      <c r="R19" s="78">
        <f>IF(AND($H19&lt;&gt;"",$I19&lt;&gt;"",$H19&lt;=R$4+6,$I19&gt;=R$4),1,"")</f>
        <v/>
      </c>
      <c r="S19" s="78">
        <f>IF(AND($H19&lt;&gt;"",$I19&lt;&gt;"",$H19&lt;=S$4+6,$I19&gt;=S$4),1,"")</f>
        <v/>
      </c>
      <c r="T19" s="78">
        <f>IF(AND($H19&lt;&gt;"",$I19&lt;&gt;"",$H19&lt;=T$4+6,$I19&gt;=T$4),1,"")</f>
        <v/>
      </c>
      <c r="U19" s="78">
        <f>IF(AND($H19&lt;&gt;"",$I19&lt;&gt;"",$H19&lt;=U$4+6,$I19&gt;=U$4),1,"")</f>
        <v/>
      </c>
      <c r="V19" s="78">
        <f>IF(AND($H19&lt;&gt;"",$I19&lt;&gt;"",$H19&lt;=V$4+6,$I19&gt;=V$4),1,"")</f>
        <v/>
      </c>
      <c r="W19" s="78">
        <f>IF(AND($H19&lt;&gt;"",$I19&lt;&gt;"",$H19&lt;=W$4+6,$I19&gt;=W$4),1,"")</f>
        <v/>
      </c>
      <c r="X19" s="78">
        <f>IF(AND($H19&lt;&gt;"",$I19&lt;&gt;"",$H19&lt;=X$4+6,$I19&gt;=X$4),1,"")</f>
        <v/>
      </c>
      <c r="Y19" s="78">
        <f>IF(AND($H19&lt;&gt;"",$I19&lt;&gt;"",$H19&lt;=Y$4+6,$I19&gt;=Y$4),1,"")</f>
        <v/>
      </c>
      <c r="Z19" s="78">
        <f>IF(AND($H19&lt;&gt;"",$I19&lt;&gt;"",$H19&lt;=Z$4+6,$I19&gt;=Z$4),1,"")</f>
        <v/>
      </c>
      <c r="AA19" s="78">
        <f>IF(AND($H19&lt;&gt;"",$I19&lt;&gt;"",$H19&lt;=AA$4+6,$I19&gt;=AA$4),1,"")</f>
        <v/>
      </c>
      <c r="AB19" s="78">
        <f>IF(AND($H19&lt;&gt;"",$I19&lt;&gt;"",$H19&lt;=AB$4+6,$I19&gt;=AB$4),1,"")</f>
        <v/>
      </c>
      <c r="AC19" s="78">
        <f>IF(AND($H19&lt;&gt;"",$I19&lt;&gt;"",$H19&lt;=AC$4+6,$I19&gt;=AC$4),1,"")</f>
        <v/>
      </c>
      <c r="AD19" s="78">
        <f>IF(AND($H19&lt;&gt;"",$I19&lt;&gt;"",$H19&lt;=AD$4+6,$I19&gt;=AD$4),1,"")</f>
        <v/>
      </c>
      <c r="AE19" s="78">
        <f>IF(AND($H19&lt;&gt;"",$I19&lt;&gt;"",$H19&lt;=AE$4+6,$I19&gt;=AE$4),1,"")</f>
        <v/>
      </c>
      <c r="AF19" s="78">
        <f>IF(AND($H19&lt;&gt;"",$I19&lt;&gt;"",$H19&lt;=AF$4+6,$I19&gt;=AF$4),1,"")</f>
        <v/>
      </c>
      <c r="AG19" s="78">
        <f>IF(AND($H19&lt;&gt;"",$I19&lt;&gt;"",$H19&lt;=AG$4+6,$I19&gt;=AG$4),1,"")</f>
        <v/>
      </c>
      <c r="AH19" s="78">
        <f>IF(AND($H19&lt;&gt;"",$I19&lt;&gt;"",$H19&lt;=AH$4+6,$I19&gt;=AH$4),1,"")</f>
        <v/>
      </c>
      <c r="AI19" s="78">
        <f>IF(AND($H19&lt;&gt;"",$I19&lt;&gt;"",$H19&lt;=AI$4+6,$I19&gt;=AI$4),1,"")</f>
        <v/>
      </c>
      <c r="AJ19" s="78">
        <f>IF(AND($H19&lt;&gt;"",$I19&lt;&gt;"",$H19&lt;=AJ$4+6,$I19&gt;=AJ$4),1,"")</f>
        <v/>
      </c>
      <c r="AK19" s="78">
        <f>IF(AND($H19&lt;&gt;"",$I19&lt;&gt;"",$H19&lt;=AK$4+6,$I19&gt;=AK$4),1,"")</f>
        <v/>
      </c>
      <c r="AL19" s="78">
        <f>IF(AND($H19&lt;&gt;"",$I19&lt;&gt;"",$H19&lt;=AL$4+6,$I19&gt;=AL$4),1,"")</f>
        <v/>
      </c>
      <c r="AM19" s="78">
        <f>IF(AND($H19&lt;&gt;"",$I19&lt;&gt;"",$H19&lt;=AM$4+6,$I19&gt;=AM$4),1,"")</f>
        <v/>
      </c>
      <c r="AN19" s="78">
        <f>IF(AND($H19&lt;&gt;"",$I19&lt;&gt;"",$H19&lt;=AN$4+6,$I19&gt;=AN$4),1,"")</f>
        <v/>
      </c>
      <c r="AO19" s="78">
        <f>IF(AND($H19&lt;&gt;"",$I19&lt;&gt;"",$H19&lt;=AO$4+6,$I19&gt;=AO$4),1,"")</f>
        <v/>
      </c>
    </row>
    <row r="20" ht="28" customHeight="1">
      <c r="A20" s="65" t="n"/>
      <c r="B20" s="65" t="n"/>
      <c r="C20" s="65" t="n"/>
      <c r="D20" s="65" t="n"/>
      <c r="E20" s="65" t="n"/>
      <c r="F20" s="65" t="n"/>
      <c r="G20" s="65" t="n"/>
      <c r="H20" s="66" t="n"/>
      <c r="I20" s="66" t="n"/>
      <c r="J20" s="66" t="n"/>
      <c r="K20" s="66" t="n"/>
      <c r="L20" s="69">
        <f>IF(OR(H20="",I20=""),"",I20-H20+1)</f>
        <v/>
      </c>
      <c r="M20" s="67" t="n"/>
      <c r="N20" s="65" t="n"/>
      <c r="O20" s="69">
        <f>IF(OR(I20="",K20=""),"",I20-K20)</f>
        <v/>
      </c>
      <c r="P20" s="65" t="n"/>
      <c r="Q20" s="70" t="n"/>
      <c r="R20" s="78">
        <f>IF(AND($H20&lt;&gt;"",$I20&lt;&gt;"",$H20&lt;=R$4+6,$I20&gt;=R$4),1,"")</f>
        <v/>
      </c>
      <c r="S20" s="78">
        <f>IF(AND($H20&lt;&gt;"",$I20&lt;&gt;"",$H20&lt;=S$4+6,$I20&gt;=S$4),1,"")</f>
        <v/>
      </c>
      <c r="T20" s="78">
        <f>IF(AND($H20&lt;&gt;"",$I20&lt;&gt;"",$H20&lt;=T$4+6,$I20&gt;=T$4),1,"")</f>
        <v/>
      </c>
      <c r="U20" s="78">
        <f>IF(AND($H20&lt;&gt;"",$I20&lt;&gt;"",$H20&lt;=U$4+6,$I20&gt;=U$4),1,"")</f>
        <v/>
      </c>
      <c r="V20" s="78">
        <f>IF(AND($H20&lt;&gt;"",$I20&lt;&gt;"",$H20&lt;=V$4+6,$I20&gt;=V$4),1,"")</f>
        <v/>
      </c>
      <c r="W20" s="78">
        <f>IF(AND($H20&lt;&gt;"",$I20&lt;&gt;"",$H20&lt;=W$4+6,$I20&gt;=W$4),1,"")</f>
        <v/>
      </c>
      <c r="X20" s="78">
        <f>IF(AND($H20&lt;&gt;"",$I20&lt;&gt;"",$H20&lt;=X$4+6,$I20&gt;=X$4),1,"")</f>
        <v/>
      </c>
      <c r="Y20" s="78">
        <f>IF(AND($H20&lt;&gt;"",$I20&lt;&gt;"",$H20&lt;=Y$4+6,$I20&gt;=Y$4),1,"")</f>
        <v/>
      </c>
      <c r="Z20" s="78">
        <f>IF(AND($H20&lt;&gt;"",$I20&lt;&gt;"",$H20&lt;=Z$4+6,$I20&gt;=Z$4),1,"")</f>
        <v/>
      </c>
      <c r="AA20" s="78">
        <f>IF(AND($H20&lt;&gt;"",$I20&lt;&gt;"",$H20&lt;=AA$4+6,$I20&gt;=AA$4),1,"")</f>
        <v/>
      </c>
      <c r="AB20" s="78">
        <f>IF(AND($H20&lt;&gt;"",$I20&lt;&gt;"",$H20&lt;=AB$4+6,$I20&gt;=AB$4),1,"")</f>
        <v/>
      </c>
      <c r="AC20" s="78">
        <f>IF(AND($H20&lt;&gt;"",$I20&lt;&gt;"",$H20&lt;=AC$4+6,$I20&gt;=AC$4),1,"")</f>
        <v/>
      </c>
      <c r="AD20" s="78">
        <f>IF(AND($H20&lt;&gt;"",$I20&lt;&gt;"",$H20&lt;=AD$4+6,$I20&gt;=AD$4),1,"")</f>
        <v/>
      </c>
      <c r="AE20" s="78">
        <f>IF(AND($H20&lt;&gt;"",$I20&lt;&gt;"",$H20&lt;=AE$4+6,$I20&gt;=AE$4),1,"")</f>
        <v/>
      </c>
      <c r="AF20" s="78">
        <f>IF(AND($H20&lt;&gt;"",$I20&lt;&gt;"",$H20&lt;=AF$4+6,$I20&gt;=AF$4),1,"")</f>
        <v/>
      </c>
      <c r="AG20" s="78">
        <f>IF(AND($H20&lt;&gt;"",$I20&lt;&gt;"",$H20&lt;=AG$4+6,$I20&gt;=AG$4),1,"")</f>
        <v/>
      </c>
      <c r="AH20" s="78">
        <f>IF(AND($H20&lt;&gt;"",$I20&lt;&gt;"",$H20&lt;=AH$4+6,$I20&gt;=AH$4),1,"")</f>
        <v/>
      </c>
      <c r="AI20" s="78">
        <f>IF(AND($H20&lt;&gt;"",$I20&lt;&gt;"",$H20&lt;=AI$4+6,$I20&gt;=AI$4),1,"")</f>
        <v/>
      </c>
      <c r="AJ20" s="78">
        <f>IF(AND($H20&lt;&gt;"",$I20&lt;&gt;"",$H20&lt;=AJ$4+6,$I20&gt;=AJ$4),1,"")</f>
        <v/>
      </c>
      <c r="AK20" s="78">
        <f>IF(AND($H20&lt;&gt;"",$I20&lt;&gt;"",$H20&lt;=AK$4+6,$I20&gt;=AK$4),1,"")</f>
        <v/>
      </c>
      <c r="AL20" s="78">
        <f>IF(AND($H20&lt;&gt;"",$I20&lt;&gt;"",$H20&lt;=AL$4+6,$I20&gt;=AL$4),1,"")</f>
        <v/>
      </c>
      <c r="AM20" s="78">
        <f>IF(AND($H20&lt;&gt;"",$I20&lt;&gt;"",$H20&lt;=AM$4+6,$I20&gt;=AM$4),1,"")</f>
        <v/>
      </c>
      <c r="AN20" s="78">
        <f>IF(AND($H20&lt;&gt;"",$I20&lt;&gt;"",$H20&lt;=AN$4+6,$I20&gt;=AN$4),1,"")</f>
        <v/>
      </c>
      <c r="AO20" s="78">
        <f>IF(AND($H20&lt;&gt;"",$I20&lt;&gt;"",$H20&lt;=AO$4+6,$I20&gt;=AO$4),1,"")</f>
        <v/>
      </c>
    </row>
    <row r="21" ht="28" customHeight="1">
      <c r="A21" s="65" t="n"/>
      <c r="B21" s="65" t="n"/>
      <c r="C21" s="65" t="n"/>
      <c r="D21" s="65" t="n"/>
      <c r="E21" s="65" t="n"/>
      <c r="F21" s="65" t="n"/>
      <c r="G21" s="65" t="n"/>
      <c r="H21" s="66" t="n"/>
      <c r="I21" s="66" t="n"/>
      <c r="J21" s="66" t="n"/>
      <c r="K21" s="66" t="n"/>
      <c r="L21" s="69">
        <f>IF(OR(H21="",I21=""),"",I21-H21+1)</f>
        <v/>
      </c>
      <c r="M21" s="67" t="n"/>
      <c r="N21" s="65" t="n"/>
      <c r="O21" s="69">
        <f>IF(OR(I21="",K21=""),"",I21-K21)</f>
        <v/>
      </c>
      <c r="P21" s="65" t="n"/>
      <c r="Q21" s="70" t="n"/>
      <c r="R21" s="78">
        <f>IF(AND($H21&lt;&gt;"",$I21&lt;&gt;"",$H21&lt;=R$4+6,$I21&gt;=R$4),1,"")</f>
        <v/>
      </c>
      <c r="S21" s="78">
        <f>IF(AND($H21&lt;&gt;"",$I21&lt;&gt;"",$H21&lt;=S$4+6,$I21&gt;=S$4),1,"")</f>
        <v/>
      </c>
      <c r="T21" s="78">
        <f>IF(AND($H21&lt;&gt;"",$I21&lt;&gt;"",$H21&lt;=T$4+6,$I21&gt;=T$4),1,"")</f>
        <v/>
      </c>
      <c r="U21" s="78">
        <f>IF(AND($H21&lt;&gt;"",$I21&lt;&gt;"",$H21&lt;=U$4+6,$I21&gt;=U$4),1,"")</f>
        <v/>
      </c>
      <c r="V21" s="78">
        <f>IF(AND($H21&lt;&gt;"",$I21&lt;&gt;"",$H21&lt;=V$4+6,$I21&gt;=V$4),1,"")</f>
        <v/>
      </c>
      <c r="W21" s="78">
        <f>IF(AND($H21&lt;&gt;"",$I21&lt;&gt;"",$H21&lt;=W$4+6,$I21&gt;=W$4),1,"")</f>
        <v/>
      </c>
      <c r="X21" s="78">
        <f>IF(AND($H21&lt;&gt;"",$I21&lt;&gt;"",$H21&lt;=X$4+6,$I21&gt;=X$4),1,"")</f>
        <v/>
      </c>
      <c r="Y21" s="78">
        <f>IF(AND($H21&lt;&gt;"",$I21&lt;&gt;"",$H21&lt;=Y$4+6,$I21&gt;=Y$4),1,"")</f>
        <v/>
      </c>
      <c r="Z21" s="78">
        <f>IF(AND($H21&lt;&gt;"",$I21&lt;&gt;"",$H21&lt;=Z$4+6,$I21&gt;=Z$4),1,"")</f>
        <v/>
      </c>
      <c r="AA21" s="78">
        <f>IF(AND($H21&lt;&gt;"",$I21&lt;&gt;"",$H21&lt;=AA$4+6,$I21&gt;=AA$4),1,"")</f>
        <v/>
      </c>
      <c r="AB21" s="78">
        <f>IF(AND($H21&lt;&gt;"",$I21&lt;&gt;"",$H21&lt;=AB$4+6,$I21&gt;=AB$4),1,"")</f>
        <v/>
      </c>
      <c r="AC21" s="78">
        <f>IF(AND($H21&lt;&gt;"",$I21&lt;&gt;"",$H21&lt;=AC$4+6,$I21&gt;=AC$4),1,"")</f>
        <v/>
      </c>
      <c r="AD21" s="78">
        <f>IF(AND($H21&lt;&gt;"",$I21&lt;&gt;"",$H21&lt;=AD$4+6,$I21&gt;=AD$4),1,"")</f>
        <v/>
      </c>
      <c r="AE21" s="78">
        <f>IF(AND($H21&lt;&gt;"",$I21&lt;&gt;"",$H21&lt;=AE$4+6,$I21&gt;=AE$4),1,"")</f>
        <v/>
      </c>
      <c r="AF21" s="78">
        <f>IF(AND($H21&lt;&gt;"",$I21&lt;&gt;"",$H21&lt;=AF$4+6,$I21&gt;=AF$4),1,"")</f>
        <v/>
      </c>
      <c r="AG21" s="78">
        <f>IF(AND($H21&lt;&gt;"",$I21&lt;&gt;"",$H21&lt;=AG$4+6,$I21&gt;=AG$4),1,"")</f>
        <v/>
      </c>
      <c r="AH21" s="78">
        <f>IF(AND($H21&lt;&gt;"",$I21&lt;&gt;"",$H21&lt;=AH$4+6,$I21&gt;=AH$4),1,"")</f>
        <v/>
      </c>
      <c r="AI21" s="78">
        <f>IF(AND($H21&lt;&gt;"",$I21&lt;&gt;"",$H21&lt;=AI$4+6,$I21&gt;=AI$4),1,"")</f>
        <v/>
      </c>
      <c r="AJ21" s="78">
        <f>IF(AND($H21&lt;&gt;"",$I21&lt;&gt;"",$H21&lt;=AJ$4+6,$I21&gt;=AJ$4),1,"")</f>
        <v/>
      </c>
      <c r="AK21" s="78">
        <f>IF(AND($H21&lt;&gt;"",$I21&lt;&gt;"",$H21&lt;=AK$4+6,$I21&gt;=AK$4),1,"")</f>
        <v/>
      </c>
      <c r="AL21" s="78">
        <f>IF(AND($H21&lt;&gt;"",$I21&lt;&gt;"",$H21&lt;=AL$4+6,$I21&gt;=AL$4),1,"")</f>
        <v/>
      </c>
      <c r="AM21" s="78">
        <f>IF(AND($H21&lt;&gt;"",$I21&lt;&gt;"",$H21&lt;=AM$4+6,$I21&gt;=AM$4),1,"")</f>
        <v/>
      </c>
      <c r="AN21" s="78">
        <f>IF(AND($H21&lt;&gt;"",$I21&lt;&gt;"",$H21&lt;=AN$4+6,$I21&gt;=AN$4),1,"")</f>
        <v/>
      </c>
      <c r="AO21" s="78">
        <f>IF(AND($H21&lt;&gt;"",$I21&lt;&gt;"",$H21&lt;=AO$4+6,$I21&gt;=AO$4),1,"")</f>
        <v/>
      </c>
    </row>
    <row r="22" ht="28" customHeight="1">
      <c r="A22" s="65" t="n"/>
      <c r="B22" s="65" t="n"/>
      <c r="C22" s="65" t="n"/>
      <c r="D22" s="65" t="n"/>
      <c r="E22" s="65" t="n"/>
      <c r="F22" s="65" t="n"/>
      <c r="G22" s="65" t="n"/>
      <c r="H22" s="66" t="n"/>
      <c r="I22" s="66" t="n"/>
      <c r="J22" s="66" t="n"/>
      <c r="K22" s="66" t="n"/>
      <c r="L22" s="69">
        <f>IF(OR(H22="",I22=""),"",I22-H22+1)</f>
        <v/>
      </c>
      <c r="M22" s="67" t="n"/>
      <c r="N22" s="65" t="n"/>
      <c r="O22" s="69">
        <f>IF(OR(I22="",K22=""),"",I22-K22)</f>
        <v/>
      </c>
      <c r="P22" s="65" t="n"/>
      <c r="Q22" s="70" t="n"/>
      <c r="R22" s="78">
        <f>IF(AND($H22&lt;&gt;"",$I22&lt;&gt;"",$H22&lt;=R$4+6,$I22&gt;=R$4),1,"")</f>
        <v/>
      </c>
      <c r="S22" s="78">
        <f>IF(AND($H22&lt;&gt;"",$I22&lt;&gt;"",$H22&lt;=S$4+6,$I22&gt;=S$4),1,"")</f>
        <v/>
      </c>
      <c r="T22" s="78">
        <f>IF(AND($H22&lt;&gt;"",$I22&lt;&gt;"",$H22&lt;=T$4+6,$I22&gt;=T$4),1,"")</f>
        <v/>
      </c>
      <c r="U22" s="78">
        <f>IF(AND($H22&lt;&gt;"",$I22&lt;&gt;"",$H22&lt;=U$4+6,$I22&gt;=U$4),1,"")</f>
        <v/>
      </c>
      <c r="V22" s="78">
        <f>IF(AND($H22&lt;&gt;"",$I22&lt;&gt;"",$H22&lt;=V$4+6,$I22&gt;=V$4),1,"")</f>
        <v/>
      </c>
      <c r="W22" s="78">
        <f>IF(AND($H22&lt;&gt;"",$I22&lt;&gt;"",$H22&lt;=W$4+6,$I22&gt;=W$4),1,"")</f>
        <v/>
      </c>
      <c r="X22" s="78">
        <f>IF(AND($H22&lt;&gt;"",$I22&lt;&gt;"",$H22&lt;=X$4+6,$I22&gt;=X$4),1,"")</f>
        <v/>
      </c>
      <c r="Y22" s="78">
        <f>IF(AND($H22&lt;&gt;"",$I22&lt;&gt;"",$H22&lt;=Y$4+6,$I22&gt;=Y$4),1,"")</f>
        <v/>
      </c>
      <c r="Z22" s="78">
        <f>IF(AND($H22&lt;&gt;"",$I22&lt;&gt;"",$H22&lt;=Z$4+6,$I22&gt;=Z$4),1,"")</f>
        <v/>
      </c>
      <c r="AA22" s="78">
        <f>IF(AND($H22&lt;&gt;"",$I22&lt;&gt;"",$H22&lt;=AA$4+6,$I22&gt;=AA$4),1,"")</f>
        <v/>
      </c>
      <c r="AB22" s="78">
        <f>IF(AND($H22&lt;&gt;"",$I22&lt;&gt;"",$H22&lt;=AB$4+6,$I22&gt;=AB$4),1,"")</f>
        <v/>
      </c>
      <c r="AC22" s="78">
        <f>IF(AND($H22&lt;&gt;"",$I22&lt;&gt;"",$H22&lt;=AC$4+6,$I22&gt;=AC$4),1,"")</f>
        <v/>
      </c>
      <c r="AD22" s="78">
        <f>IF(AND($H22&lt;&gt;"",$I22&lt;&gt;"",$H22&lt;=AD$4+6,$I22&gt;=AD$4),1,"")</f>
        <v/>
      </c>
      <c r="AE22" s="78">
        <f>IF(AND($H22&lt;&gt;"",$I22&lt;&gt;"",$H22&lt;=AE$4+6,$I22&gt;=AE$4),1,"")</f>
        <v/>
      </c>
      <c r="AF22" s="78">
        <f>IF(AND($H22&lt;&gt;"",$I22&lt;&gt;"",$H22&lt;=AF$4+6,$I22&gt;=AF$4),1,"")</f>
        <v/>
      </c>
      <c r="AG22" s="78">
        <f>IF(AND($H22&lt;&gt;"",$I22&lt;&gt;"",$H22&lt;=AG$4+6,$I22&gt;=AG$4),1,"")</f>
        <v/>
      </c>
      <c r="AH22" s="78">
        <f>IF(AND($H22&lt;&gt;"",$I22&lt;&gt;"",$H22&lt;=AH$4+6,$I22&gt;=AH$4),1,"")</f>
        <v/>
      </c>
      <c r="AI22" s="78">
        <f>IF(AND($H22&lt;&gt;"",$I22&lt;&gt;"",$H22&lt;=AI$4+6,$I22&gt;=AI$4),1,"")</f>
        <v/>
      </c>
      <c r="AJ22" s="78">
        <f>IF(AND($H22&lt;&gt;"",$I22&lt;&gt;"",$H22&lt;=AJ$4+6,$I22&gt;=AJ$4),1,"")</f>
        <v/>
      </c>
      <c r="AK22" s="78">
        <f>IF(AND($H22&lt;&gt;"",$I22&lt;&gt;"",$H22&lt;=AK$4+6,$I22&gt;=AK$4),1,"")</f>
        <v/>
      </c>
      <c r="AL22" s="78">
        <f>IF(AND($H22&lt;&gt;"",$I22&lt;&gt;"",$H22&lt;=AL$4+6,$I22&gt;=AL$4),1,"")</f>
        <v/>
      </c>
      <c r="AM22" s="78">
        <f>IF(AND($H22&lt;&gt;"",$I22&lt;&gt;"",$H22&lt;=AM$4+6,$I22&gt;=AM$4),1,"")</f>
        <v/>
      </c>
      <c r="AN22" s="78">
        <f>IF(AND($H22&lt;&gt;"",$I22&lt;&gt;"",$H22&lt;=AN$4+6,$I22&gt;=AN$4),1,"")</f>
        <v/>
      </c>
      <c r="AO22" s="78">
        <f>IF(AND($H22&lt;&gt;"",$I22&lt;&gt;"",$H22&lt;=AO$4+6,$I22&gt;=AO$4),1,"")</f>
        <v/>
      </c>
    </row>
    <row r="23" ht="28" customHeight="1">
      <c r="A23" s="65" t="n"/>
      <c r="B23" s="65" t="n"/>
      <c r="C23" s="65" t="n"/>
      <c r="D23" s="65" t="n"/>
      <c r="E23" s="65" t="n"/>
      <c r="F23" s="65" t="n"/>
      <c r="G23" s="65" t="n"/>
      <c r="H23" s="66" t="n"/>
      <c r="I23" s="66" t="n"/>
      <c r="J23" s="66" t="n"/>
      <c r="K23" s="66" t="n"/>
      <c r="L23" s="69">
        <f>IF(OR(H23="",I23=""),"",I23-H23+1)</f>
        <v/>
      </c>
      <c r="M23" s="67" t="n"/>
      <c r="N23" s="65" t="n"/>
      <c r="O23" s="69">
        <f>IF(OR(I23="",K23=""),"",I23-K23)</f>
        <v/>
      </c>
      <c r="P23" s="65" t="n"/>
      <c r="Q23" s="70" t="n"/>
      <c r="R23" s="78">
        <f>IF(AND($H23&lt;&gt;"",$I23&lt;&gt;"",$H23&lt;=R$4+6,$I23&gt;=R$4),1,"")</f>
        <v/>
      </c>
      <c r="S23" s="78">
        <f>IF(AND($H23&lt;&gt;"",$I23&lt;&gt;"",$H23&lt;=S$4+6,$I23&gt;=S$4),1,"")</f>
        <v/>
      </c>
      <c r="T23" s="78">
        <f>IF(AND($H23&lt;&gt;"",$I23&lt;&gt;"",$H23&lt;=T$4+6,$I23&gt;=T$4),1,"")</f>
        <v/>
      </c>
      <c r="U23" s="78">
        <f>IF(AND($H23&lt;&gt;"",$I23&lt;&gt;"",$H23&lt;=U$4+6,$I23&gt;=U$4),1,"")</f>
        <v/>
      </c>
      <c r="V23" s="78">
        <f>IF(AND($H23&lt;&gt;"",$I23&lt;&gt;"",$H23&lt;=V$4+6,$I23&gt;=V$4),1,"")</f>
        <v/>
      </c>
      <c r="W23" s="78">
        <f>IF(AND($H23&lt;&gt;"",$I23&lt;&gt;"",$H23&lt;=W$4+6,$I23&gt;=W$4),1,"")</f>
        <v/>
      </c>
      <c r="X23" s="78">
        <f>IF(AND($H23&lt;&gt;"",$I23&lt;&gt;"",$H23&lt;=X$4+6,$I23&gt;=X$4),1,"")</f>
        <v/>
      </c>
      <c r="Y23" s="78">
        <f>IF(AND($H23&lt;&gt;"",$I23&lt;&gt;"",$H23&lt;=Y$4+6,$I23&gt;=Y$4),1,"")</f>
        <v/>
      </c>
      <c r="Z23" s="78">
        <f>IF(AND($H23&lt;&gt;"",$I23&lt;&gt;"",$H23&lt;=Z$4+6,$I23&gt;=Z$4),1,"")</f>
        <v/>
      </c>
      <c r="AA23" s="78">
        <f>IF(AND($H23&lt;&gt;"",$I23&lt;&gt;"",$H23&lt;=AA$4+6,$I23&gt;=AA$4),1,"")</f>
        <v/>
      </c>
      <c r="AB23" s="78">
        <f>IF(AND($H23&lt;&gt;"",$I23&lt;&gt;"",$H23&lt;=AB$4+6,$I23&gt;=AB$4),1,"")</f>
        <v/>
      </c>
      <c r="AC23" s="78">
        <f>IF(AND($H23&lt;&gt;"",$I23&lt;&gt;"",$H23&lt;=AC$4+6,$I23&gt;=AC$4),1,"")</f>
        <v/>
      </c>
      <c r="AD23" s="78">
        <f>IF(AND($H23&lt;&gt;"",$I23&lt;&gt;"",$H23&lt;=AD$4+6,$I23&gt;=AD$4),1,"")</f>
        <v/>
      </c>
      <c r="AE23" s="78">
        <f>IF(AND($H23&lt;&gt;"",$I23&lt;&gt;"",$H23&lt;=AE$4+6,$I23&gt;=AE$4),1,"")</f>
        <v/>
      </c>
      <c r="AF23" s="78">
        <f>IF(AND($H23&lt;&gt;"",$I23&lt;&gt;"",$H23&lt;=AF$4+6,$I23&gt;=AF$4),1,"")</f>
        <v/>
      </c>
      <c r="AG23" s="78">
        <f>IF(AND($H23&lt;&gt;"",$I23&lt;&gt;"",$H23&lt;=AG$4+6,$I23&gt;=AG$4),1,"")</f>
        <v/>
      </c>
      <c r="AH23" s="78">
        <f>IF(AND($H23&lt;&gt;"",$I23&lt;&gt;"",$H23&lt;=AH$4+6,$I23&gt;=AH$4),1,"")</f>
        <v/>
      </c>
      <c r="AI23" s="78">
        <f>IF(AND($H23&lt;&gt;"",$I23&lt;&gt;"",$H23&lt;=AI$4+6,$I23&gt;=AI$4),1,"")</f>
        <v/>
      </c>
      <c r="AJ23" s="78">
        <f>IF(AND($H23&lt;&gt;"",$I23&lt;&gt;"",$H23&lt;=AJ$4+6,$I23&gt;=AJ$4),1,"")</f>
        <v/>
      </c>
      <c r="AK23" s="78">
        <f>IF(AND($H23&lt;&gt;"",$I23&lt;&gt;"",$H23&lt;=AK$4+6,$I23&gt;=AK$4),1,"")</f>
        <v/>
      </c>
      <c r="AL23" s="78">
        <f>IF(AND($H23&lt;&gt;"",$I23&lt;&gt;"",$H23&lt;=AL$4+6,$I23&gt;=AL$4),1,"")</f>
        <v/>
      </c>
      <c r="AM23" s="78">
        <f>IF(AND($H23&lt;&gt;"",$I23&lt;&gt;"",$H23&lt;=AM$4+6,$I23&gt;=AM$4),1,"")</f>
        <v/>
      </c>
      <c r="AN23" s="78">
        <f>IF(AND($H23&lt;&gt;"",$I23&lt;&gt;"",$H23&lt;=AN$4+6,$I23&gt;=AN$4),1,"")</f>
        <v/>
      </c>
      <c r="AO23" s="78">
        <f>IF(AND($H23&lt;&gt;"",$I23&lt;&gt;"",$H23&lt;=AO$4+6,$I23&gt;=AO$4),1,"")</f>
        <v/>
      </c>
    </row>
    <row r="24" ht="28" customHeight="1">
      <c r="A24" s="65" t="n"/>
      <c r="B24" s="65" t="n"/>
      <c r="C24" s="65" t="n"/>
      <c r="D24" s="65" t="n"/>
      <c r="E24" s="65" t="n"/>
      <c r="F24" s="65" t="n"/>
      <c r="G24" s="65" t="n"/>
      <c r="H24" s="66" t="n"/>
      <c r="I24" s="66" t="n"/>
      <c r="J24" s="66" t="n"/>
      <c r="K24" s="66" t="n"/>
      <c r="L24" s="69">
        <f>IF(OR(H24="",I24=""),"",I24-H24+1)</f>
        <v/>
      </c>
      <c r="M24" s="67" t="n"/>
      <c r="N24" s="65" t="n"/>
      <c r="O24" s="69">
        <f>IF(OR(I24="",K24=""),"",I24-K24)</f>
        <v/>
      </c>
      <c r="P24" s="65" t="n"/>
      <c r="Q24" s="70" t="n"/>
      <c r="R24" s="78">
        <f>IF(AND($H24&lt;&gt;"",$I24&lt;&gt;"",$H24&lt;=R$4+6,$I24&gt;=R$4),1,"")</f>
        <v/>
      </c>
      <c r="S24" s="78">
        <f>IF(AND($H24&lt;&gt;"",$I24&lt;&gt;"",$H24&lt;=S$4+6,$I24&gt;=S$4),1,"")</f>
        <v/>
      </c>
      <c r="T24" s="78">
        <f>IF(AND($H24&lt;&gt;"",$I24&lt;&gt;"",$H24&lt;=T$4+6,$I24&gt;=T$4),1,"")</f>
        <v/>
      </c>
      <c r="U24" s="78">
        <f>IF(AND($H24&lt;&gt;"",$I24&lt;&gt;"",$H24&lt;=U$4+6,$I24&gt;=U$4),1,"")</f>
        <v/>
      </c>
      <c r="V24" s="78">
        <f>IF(AND($H24&lt;&gt;"",$I24&lt;&gt;"",$H24&lt;=V$4+6,$I24&gt;=V$4),1,"")</f>
        <v/>
      </c>
      <c r="W24" s="78">
        <f>IF(AND($H24&lt;&gt;"",$I24&lt;&gt;"",$H24&lt;=W$4+6,$I24&gt;=W$4),1,"")</f>
        <v/>
      </c>
      <c r="X24" s="78">
        <f>IF(AND($H24&lt;&gt;"",$I24&lt;&gt;"",$H24&lt;=X$4+6,$I24&gt;=X$4),1,"")</f>
        <v/>
      </c>
      <c r="Y24" s="78">
        <f>IF(AND($H24&lt;&gt;"",$I24&lt;&gt;"",$H24&lt;=Y$4+6,$I24&gt;=Y$4),1,"")</f>
        <v/>
      </c>
      <c r="Z24" s="78">
        <f>IF(AND($H24&lt;&gt;"",$I24&lt;&gt;"",$H24&lt;=Z$4+6,$I24&gt;=Z$4),1,"")</f>
        <v/>
      </c>
      <c r="AA24" s="78">
        <f>IF(AND($H24&lt;&gt;"",$I24&lt;&gt;"",$H24&lt;=AA$4+6,$I24&gt;=AA$4),1,"")</f>
        <v/>
      </c>
      <c r="AB24" s="78">
        <f>IF(AND($H24&lt;&gt;"",$I24&lt;&gt;"",$H24&lt;=AB$4+6,$I24&gt;=AB$4),1,"")</f>
        <v/>
      </c>
      <c r="AC24" s="78">
        <f>IF(AND($H24&lt;&gt;"",$I24&lt;&gt;"",$H24&lt;=AC$4+6,$I24&gt;=AC$4),1,"")</f>
        <v/>
      </c>
      <c r="AD24" s="78">
        <f>IF(AND($H24&lt;&gt;"",$I24&lt;&gt;"",$H24&lt;=AD$4+6,$I24&gt;=AD$4),1,"")</f>
        <v/>
      </c>
      <c r="AE24" s="78">
        <f>IF(AND($H24&lt;&gt;"",$I24&lt;&gt;"",$H24&lt;=AE$4+6,$I24&gt;=AE$4),1,"")</f>
        <v/>
      </c>
      <c r="AF24" s="78">
        <f>IF(AND($H24&lt;&gt;"",$I24&lt;&gt;"",$H24&lt;=AF$4+6,$I24&gt;=AF$4),1,"")</f>
        <v/>
      </c>
      <c r="AG24" s="78">
        <f>IF(AND($H24&lt;&gt;"",$I24&lt;&gt;"",$H24&lt;=AG$4+6,$I24&gt;=AG$4),1,"")</f>
        <v/>
      </c>
      <c r="AH24" s="78">
        <f>IF(AND($H24&lt;&gt;"",$I24&lt;&gt;"",$H24&lt;=AH$4+6,$I24&gt;=AH$4),1,"")</f>
        <v/>
      </c>
      <c r="AI24" s="78">
        <f>IF(AND($H24&lt;&gt;"",$I24&lt;&gt;"",$H24&lt;=AI$4+6,$I24&gt;=AI$4),1,"")</f>
        <v/>
      </c>
      <c r="AJ24" s="78">
        <f>IF(AND($H24&lt;&gt;"",$I24&lt;&gt;"",$H24&lt;=AJ$4+6,$I24&gt;=AJ$4),1,"")</f>
        <v/>
      </c>
      <c r="AK24" s="78">
        <f>IF(AND($H24&lt;&gt;"",$I24&lt;&gt;"",$H24&lt;=AK$4+6,$I24&gt;=AK$4),1,"")</f>
        <v/>
      </c>
      <c r="AL24" s="78">
        <f>IF(AND($H24&lt;&gt;"",$I24&lt;&gt;"",$H24&lt;=AL$4+6,$I24&gt;=AL$4),1,"")</f>
        <v/>
      </c>
      <c r="AM24" s="78">
        <f>IF(AND($H24&lt;&gt;"",$I24&lt;&gt;"",$H24&lt;=AM$4+6,$I24&gt;=AM$4),1,"")</f>
        <v/>
      </c>
      <c r="AN24" s="78">
        <f>IF(AND($H24&lt;&gt;"",$I24&lt;&gt;"",$H24&lt;=AN$4+6,$I24&gt;=AN$4),1,"")</f>
        <v/>
      </c>
      <c r="AO24" s="78">
        <f>IF(AND($H24&lt;&gt;"",$I24&lt;&gt;"",$H24&lt;=AO$4+6,$I24&gt;=AO$4),1,"")</f>
        <v/>
      </c>
    </row>
    <row r="25" ht="28" customHeight="1">
      <c r="A25" s="65" t="n"/>
      <c r="B25" s="65" t="n"/>
      <c r="C25" s="65" t="n"/>
      <c r="D25" s="65" t="n"/>
      <c r="E25" s="65" t="n"/>
      <c r="F25" s="65" t="n"/>
      <c r="G25" s="65" t="n"/>
      <c r="H25" s="66" t="n"/>
      <c r="I25" s="66" t="n"/>
      <c r="J25" s="66" t="n"/>
      <c r="K25" s="66" t="n"/>
      <c r="L25" s="69">
        <f>IF(OR(H25="",I25=""),"",I25-H25+1)</f>
        <v/>
      </c>
      <c r="M25" s="67" t="n"/>
      <c r="N25" s="65" t="n"/>
      <c r="O25" s="69">
        <f>IF(OR(I25="",K25=""),"",I25-K25)</f>
        <v/>
      </c>
      <c r="P25" s="65" t="n"/>
      <c r="Q25" s="70" t="n"/>
      <c r="R25" s="78">
        <f>IF(AND($H25&lt;&gt;"",$I25&lt;&gt;"",$H25&lt;=R$4+6,$I25&gt;=R$4),1,"")</f>
        <v/>
      </c>
      <c r="S25" s="78">
        <f>IF(AND($H25&lt;&gt;"",$I25&lt;&gt;"",$H25&lt;=S$4+6,$I25&gt;=S$4),1,"")</f>
        <v/>
      </c>
      <c r="T25" s="78">
        <f>IF(AND($H25&lt;&gt;"",$I25&lt;&gt;"",$H25&lt;=T$4+6,$I25&gt;=T$4),1,"")</f>
        <v/>
      </c>
      <c r="U25" s="78">
        <f>IF(AND($H25&lt;&gt;"",$I25&lt;&gt;"",$H25&lt;=U$4+6,$I25&gt;=U$4),1,"")</f>
        <v/>
      </c>
      <c r="V25" s="78">
        <f>IF(AND($H25&lt;&gt;"",$I25&lt;&gt;"",$H25&lt;=V$4+6,$I25&gt;=V$4),1,"")</f>
        <v/>
      </c>
      <c r="W25" s="78">
        <f>IF(AND($H25&lt;&gt;"",$I25&lt;&gt;"",$H25&lt;=W$4+6,$I25&gt;=W$4),1,"")</f>
        <v/>
      </c>
      <c r="X25" s="78">
        <f>IF(AND($H25&lt;&gt;"",$I25&lt;&gt;"",$H25&lt;=X$4+6,$I25&gt;=X$4),1,"")</f>
        <v/>
      </c>
      <c r="Y25" s="78">
        <f>IF(AND($H25&lt;&gt;"",$I25&lt;&gt;"",$H25&lt;=Y$4+6,$I25&gt;=Y$4),1,"")</f>
        <v/>
      </c>
      <c r="Z25" s="78">
        <f>IF(AND($H25&lt;&gt;"",$I25&lt;&gt;"",$H25&lt;=Z$4+6,$I25&gt;=Z$4),1,"")</f>
        <v/>
      </c>
      <c r="AA25" s="78">
        <f>IF(AND($H25&lt;&gt;"",$I25&lt;&gt;"",$H25&lt;=AA$4+6,$I25&gt;=AA$4),1,"")</f>
        <v/>
      </c>
      <c r="AB25" s="78">
        <f>IF(AND($H25&lt;&gt;"",$I25&lt;&gt;"",$H25&lt;=AB$4+6,$I25&gt;=AB$4),1,"")</f>
        <v/>
      </c>
      <c r="AC25" s="78">
        <f>IF(AND($H25&lt;&gt;"",$I25&lt;&gt;"",$H25&lt;=AC$4+6,$I25&gt;=AC$4),1,"")</f>
        <v/>
      </c>
      <c r="AD25" s="78">
        <f>IF(AND($H25&lt;&gt;"",$I25&lt;&gt;"",$H25&lt;=AD$4+6,$I25&gt;=AD$4),1,"")</f>
        <v/>
      </c>
      <c r="AE25" s="78">
        <f>IF(AND($H25&lt;&gt;"",$I25&lt;&gt;"",$H25&lt;=AE$4+6,$I25&gt;=AE$4),1,"")</f>
        <v/>
      </c>
      <c r="AF25" s="78">
        <f>IF(AND($H25&lt;&gt;"",$I25&lt;&gt;"",$H25&lt;=AF$4+6,$I25&gt;=AF$4),1,"")</f>
        <v/>
      </c>
      <c r="AG25" s="78">
        <f>IF(AND($H25&lt;&gt;"",$I25&lt;&gt;"",$H25&lt;=AG$4+6,$I25&gt;=AG$4),1,"")</f>
        <v/>
      </c>
      <c r="AH25" s="78">
        <f>IF(AND($H25&lt;&gt;"",$I25&lt;&gt;"",$H25&lt;=AH$4+6,$I25&gt;=AH$4),1,"")</f>
        <v/>
      </c>
      <c r="AI25" s="78">
        <f>IF(AND($H25&lt;&gt;"",$I25&lt;&gt;"",$H25&lt;=AI$4+6,$I25&gt;=AI$4),1,"")</f>
        <v/>
      </c>
      <c r="AJ25" s="78">
        <f>IF(AND($H25&lt;&gt;"",$I25&lt;&gt;"",$H25&lt;=AJ$4+6,$I25&gt;=AJ$4),1,"")</f>
        <v/>
      </c>
      <c r="AK25" s="78">
        <f>IF(AND($H25&lt;&gt;"",$I25&lt;&gt;"",$H25&lt;=AK$4+6,$I25&gt;=AK$4),1,"")</f>
        <v/>
      </c>
      <c r="AL25" s="78">
        <f>IF(AND($H25&lt;&gt;"",$I25&lt;&gt;"",$H25&lt;=AL$4+6,$I25&gt;=AL$4),1,"")</f>
        <v/>
      </c>
      <c r="AM25" s="78">
        <f>IF(AND($H25&lt;&gt;"",$I25&lt;&gt;"",$H25&lt;=AM$4+6,$I25&gt;=AM$4),1,"")</f>
        <v/>
      </c>
      <c r="AN25" s="78">
        <f>IF(AND($H25&lt;&gt;"",$I25&lt;&gt;"",$H25&lt;=AN$4+6,$I25&gt;=AN$4),1,"")</f>
        <v/>
      </c>
      <c r="AO25" s="78">
        <f>IF(AND($H25&lt;&gt;"",$I25&lt;&gt;"",$H25&lt;=AO$4+6,$I25&gt;=AO$4),1,"")</f>
        <v/>
      </c>
    </row>
    <row r="26" ht="28" customHeight="1">
      <c r="A26" s="65" t="n"/>
      <c r="B26" s="65" t="n"/>
      <c r="C26" s="65" t="n"/>
      <c r="D26" s="65" t="n"/>
      <c r="E26" s="65" t="n"/>
      <c r="F26" s="65" t="n"/>
      <c r="G26" s="65" t="n"/>
      <c r="H26" s="66" t="n"/>
      <c r="I26" s="66" t="n"/>
      <c r="J26" s="66" t="n"/>
      <c r="K26" s="66" t="n"/>
      <c r="L26" s="69">
        <f>IF(OR(H26="",I26=""),"",I26-H26+1)</f>
        <v/>
      </c>
      <c r="M26" s="67" t="n"/>
      <c r="N26" s="65" t="n"/>
      <c r="O26" s="69">
        <f>IF(OR(I26="",K26=""),"",I26-K26)</f>
        <v/>
      </c>
      <c r="P26" s="65" t="n"/>
      <c r="Q26" s="70" t="n"/>
      <c r="R26" s="78">
        <f>IF(AND($H26&lt;&gt;"",$I26&lt;&gt;"",$H26&lt;=R$4+6,$I26&gt;=R$4),1,"")</f>
        <v/>
      </c>
      <c r="S26" s="78">
        <f>IF(AND($H26&lt;&gt;"",$I26&lt;&gt;"",$H26&lt;=S$4+6,$I26&gt;=S$4),1,"")</f>
        <v/>
      </c>
      <c r="T26" s="78">
        <f>IF(AND($H26&lt;&gt;"",$I26&lt;&gt;"",$H26&lt;=T$4+6,$I26&gt;=T$4),1,"")</f>
        <v/>
      </c>
      <c r="U26" s="78">
        <f>IF(AND($H26&lt;&gt;"",$I26&lt;&gt;"",$H26&lt;=U$4+6,$I26&gt;=U$4),1,"")</f>
        <v/>
      </c>
      <c r="V26" s="78">
        <f>IF(AND($H26&lt;&gt;"",$I26&lt;&gt;"",$H26&lt;=V$4+6,$I26&gt;=V$4),1,"")</f>
        <v/>
      </c>
      <c r="W26" s="78">
        <f>IF(AND($H26&lt;&gt;"",$I26&lt;&gt;"",$H26&lt;=W$4+6,$I26&gt;=W$4),1,"")</f>
        <v/>
      </c>
      <c r="X26" s="78">
        <f>IF(AND($H26&lt;&gt;"",$I26&lt;&gt;"",$H26&lt;=X$4+6,$I26&gt;=X$4),1,"")</f>
        <v/>
      </c>
      <c r="Y26" s="78">
        <f>IF(AND($H26&lt;&gt;"",$I26&lt;&gt;"",$H26&lt;=Y$4+6,$I26&gt;=Y$4),1,"")</f>
        <v/>
      </c>
      <c r="Z26" s="78">
        <f>IF(AND($H26&lt;&gt;"",$I26&lt;&gt;"",$H26&lt;=Z$4+6,$I26&gt;=Z$4),1,"")</f>
        <v/>
      </c>
      <c r="AA26" s="78">
        <f>IF(AND($H26&lt;&gt;"",$I26&lt;&gt;"",$H26&lt;=AA$4+6,$I26&gt;=AA$4),1,"")</f>
        <v/>
      </c>
      <c r="AB26" s="78">
        <f>IF(AND($H26&lt;&gt;"",$I26&lt;&gt;"",$H26&lt;=AB$4+6,$I26&gt;=AB$4),1,"")</f>
        <v/>
      </c>
      <c r="AC26" s="78">
        <f>IF(AND($H26&lt;&gt;"",$I26&lt;&gt;"",$H26&lt;=AC$4+6,$I26&gt;=AC$4),1,"")</f>
        <v/>
      </c>
      <c r="AD26" s="78">
        <f>IF(AND($H26&lt;&gt;"",$I26&lt;&gt;"",$H26&lt;=AD$4+6,$I26&gt;=AD$4),1,"")</f>
        <v/>
      </c>
      <c r="AE26" s="78">
        <f>IF(AND($H26&lt;&gt;"",$I26&lt;&gt;"",$H26&lt;=AE$4+6,$I26&gt;=AE$4),1,"")</f>
        <v/>
      </c>
      <c r="AF26" s="78">
        <f>IF(AND($H26&lt;&gt;"",$I26&lt;&gt;"",$H26&lt;=AF$4+6,$I26&gt;=AF$4),1,"")</f>
        <v/>
      </c>
      <c r="AG26" s="78">
        <f>IF(AND($H26&lt;&gt;"",$I26&lt;&gt;"",$H26&lt;=AG$4+6,$I26&gt;=AG$4),1,"")</f>
        <v/>
      </c>
      <c r="AH26" s="78">
        <f>IF(AND($H26&lt;&gt;"",$I26&lt;&gt;"",$H26&lt;=AH$4+6,$I26&gt;=AH$4),1,"")</f>
        <v/>
      </c>
      <c r="AI26" s="78">
        <f>IF(AND($H26&lt;&gt;"",$I26&lt;&gt;"",$H26&lt;=AI$4+6,$I26&gt;=AI$4),1,"")</f>
        <v/>
      </c>
      <c r="AJ26" s="78">
        <f>IF(AND($H26&lt;&gt;"",$I26&lt;&gt;"",$H26&lt;=AJ$4+6,$I26&gt;=AJ$4),1,"")</f>
        <v/>
      </c>
      <c r="AK26" s="78">
        <f>IF(AND($H26&lt;&gt;"",$I26&lt;&gt;"",$H26&lt;=AK$4+6,$I26&gt;=AK$4),1,"")</f>
        <v/>
      </c>
      <c r="AL26" s="78">
        <f>IF(AND($H26&lt;&gt;"",$I26&lt;&gt;"",$H26&lt;=AL$4+6,$I26&gt;=AL$4),1,"")</f>
        <v/>
      </c>
      <c r="AM26" s="78">
        <f>IF(AND($H26&lt;&gt;"",$I26&lt;&gt;"",$H26&lt;=AM$4+6,$I26&gt;=AM$4),1,"")</f>
        <v/>
      </c>
      <c r="AN26" s="78">
        <f>IF(AND($H26&lt;&gt;"",$I26&lt;&gt;"",$H26&lt;=AN$4+6,$I26&gt;=AN$4),1,"")</f>
        <v/>
      </c>
      <c r="AO26" s="78">
        <f>IF(AND($H26&lt;&gt;"",$I26&lt;&gt;"",$H26&lt;=AO$4+6,$I26&gt;=AO$4),1,"")</f>
        <v/>
      </c>
    </row>
    <row r="27" ht="28" customHeight="1">
      <c r="A27" s="65" t="n"/>
      <c r="B27" s="65" t="n"/>
      <c r="C27" s="65" t="n"/>
      <c r="D27" s="65" t="n"/>
      <c r="E27" s="65" t="n"/>
      <c r="F27" s="65" t="n"/>
      <c r="G27" s="65" t="n"/>
      <c r="H27" s="66" t="n"/>
      <c r="I27" s="66" t="n"/>
      <c r="J27" s="66" t="n"/>
      <c r="K27" s="66" t="n"/>
      <c r="L27" s="69">
        <f>IF(OR(H27="",I27=""),"",I27-H27+1)</f>
        <v/>
      </c>
      <c r="M27" s="67" t="n"/>
      <c r="N27" s="65" t="n"/>
      <c r="O27" s="69">
        <f>IF(OR(I27="",K27=""),"",I27-K27)</f>
        <v/>
      </c>
      <c r="P27" s="65" t="n"/>
      <c r="Q27" s="70" t="n"/>
      <c r="R27" s="78">
        <f>IF(AND($H27&lt;&gt;"",$I27&lt;&gt;"",$H27&lt;=R$4+6,$I27&gt;=R$4),1,"")</f>
        <v/>
      </c>
      <c r="S27" s="78">
        <f>IF(AND($H27&lt;&gt;"",$I27&lt;&gt;"",$H27&lt;=S$4+6,$I27&gt;=S$4),1,"")</f>
        <v/>
      </c>
      <c r="T27" s="78">
        <f>IF(AND($H27&lt;&gt;"",$I27&lt;&gt;"",$H27&lt;=T$4+6,$I27&gt;=T$4),1,"")</f>
        <v/>
      </c>
      <c r="U27" s="78">
        <f>IF(AND($H27&lt;&gt;"",$I27&lt;&gt;"",$H27&lt;=U$4+6,$I27&gt;=U$4),1,"")</f>
        <v/>
      </c>
      <c r="V27" s="78">
        <f>IF(AND($H27&lt;&gt;"",$I27&lt;&gt;"",$H27&lt;=V$4+6,$I27&gt;=V$4),1,"")</f>
        <v/>
      </c>
      <c r="W27" s="78">
        <f>IF(AND($H27&lt;&gt;"",$I27&lt;&gt;"",$H27&lt;=W$4+6,$I27&gt;=W$4),1,"")</f>
        <v/>
      </c>
      <c r="X27" s="78">
        <f>IF(AND($H27&lt;&gt;"",$I27&lt;&gt;"",$H27&lt;=X$4+6,$I27&gt;=X$4),1,"")</f>
        <v/>
      </c>
      <c r="Y27" s="78">
        <f>IF(AND($H27&lt;&gt;"",$I27&lt;&gt;"",$H27&lt;=Y$4+6,$I27&gt;=Y$4),1,"")</f>
        <v/>
      </c>
      <c r="Z27" s="78">
        <f>IF(AND($H27&lt;&gt;"",$I27&lt;&gt;"",$H27&lt;=Z$4+6,$I27&gt;=Z$4),1,"")</f>
        <v/>
      </c>
      <c r="AA27" s="78">
        <f>IF(AND($H27&lt;&gt;"",$I27&lt;&gt;"",$H27&lt;=AA$4+6,$I27&gt;=AA$4),1,"")</f>
        <v/>
      </c>
      <c r="AB27" s="78">
        <f>IF(AND($H27&lt;&gt;"",$I27&lt;&gt;"",$H27&lt;=AB$4+6,$I27&gt;=AB$4),1,"")</f>
        <v/>
      </c>
      <c r="AC27" s="78">
        <f>IF(AND($H27&lt;&gt;"",$I27&lt;&gt;"",$H27&lt;=AC$4+6,$I27&gt;=AC$4),1,"")</f>
        <v/>
      </c>
      <c r="AD27" s="78">
        <f>IF(AND($H27&lt;&gt;"",$I27&lt;&gt;"",$H27&lt;=AD$4+6,$I27&gt;=AD$4),1,"")</f>
        <v/>
      </c>
      <c r="AE27" s="78">
        <f>IF(AND($H27&lt;&gt;"",$I27&lt;&gt;"",$H27&lt;=AE$4+6,$I27&gt;=AE$4),1,"")</f>
        <v/>
      </c>
      <c r="AF27" s="78">
        <f>IF(AND($H27&lt;&gt;"",$I27&lt;&gt;"",$H27&lt;=AF$4+6,$I27&gt;=AF$4),1,"")</f>
        <v/>
      </c>
      <c r="AG27" s="78">
        <f>IF(AND($H27&lt;&gt;"",$I27&lt;&gt;"",$H27&lt;=AG$4+6,$I27&gt;=AG$4),1,"")</f>
        <v/>
      </c>
      <c r="AH27" s="78">
        <f>IF(AND($H27&lt;&gt;"",$I27&lt;&gt;"",$H27&lt;=AH$4+6,$I27&gt;=AH$4),1,"")</f>
        <v/>
      </c>
      <c r="AI27" s="78">
        <f>IF(AND($H27&lt;&gt;"",$I27&lt;&gt;"",$H27&lt;=AI$4+6,$I27&gt;=AI$4),1,"")</f>
        <v/>
      </c>
      <c r="AJ27" s="78">
        <f>IF(AND($H27&lt;&gt;"",$I27&lt;&gt;"",$H27&lt;=AJ$4+6,$I27&gt;=AJ$4),1,"")</f>
        <v/>
      </c>
      <c r="AK27" s="78">
        <f>IF(AND($H27&lt;&gt;"",$I27&lt;&gt;"",$H27&lt;=AK$4+6,$I27&gt;=AK$4),1,"")</f>
        <v/>
      </c>
      <c r="AL27" s="78">
        <f>IF(AND($H27&lt;&gt;"",$I27&lt;&gt;"",$H27&lt;=AL$4+6,$I27&gt;=AL$4),1,"")</f>
        <v/>
      </c>
      <c r="AM27" s="78">
        <f>IF(AND($H27&lt;&gt;"",$I27&lt;&gt;"",$H27&lt;=AM$4+6,$I27&gt;=AM$4),1,"")</f>
        <v/>
      </c>
      <c r="AN27" s="78">
        <f>IF(AND($H27&lt;&gt;"",$I27&lt;&gt;"",$H27&lt;=AN$4+6,$I27&gt;=AN$4),1,"")</f>
        <v/>
      </c>
      <c r="AO27" s="78">
        <f>IF(AND($H27&lt;&gt;"",$I27&lt;&gt;"",$H27&lt;=AO$4+6,$I27&gt;=AO$4),1,"")</f>
        <v/>
      </c>
    </row>
    <row r="28" ht="28" customHeight="1">
      <c r="A28" s="65" t="n"/>
      <c r="B28" s="65" t="n"/>
      <c r="C28" s="65" t="n"/>
      <c r="D28" s="65" t="n"/>
      <c r="E28" s="65" t="n"/>
      <c r="F28" s="65" t="n"/>
      <c r="G28" s="65" t="n"/>
      <c r="H28" s="66" t="n"/>
      <c r="I28" s="66" t="n"/>
      <c r="J28" s="66" t="n"/>
      <c r="K28" s="66" t="n"/>
      <c r="L28" s="69">
        <f>IF(OR(H28="",I28=""),"",I28-H28+1)</f>
        <v/>
      </c>
      <c r="M28" s="67" t="n"/>
      <c r="N28" s="65" t="n"/>
      <c r="O28" s="69">
        <f>IF(OR(I28="",K28=""),"",I28-K28)</f>
        <v/>
      </c>
      <c r="P28" s="65" t="n"/>
      <c r="Q28" s="70" t="n"/>
      <c r="R28" s="78">
        <f>IF(AND($H28&lt;&gt;"",$I28&lt;&gt;"",$H28&lt;=R$4+6,$I28&gt;=R$4),1,"")</f>
        <v/>
      </c>
      <c r="S28" s="78">
        <f>IF(AND($H28&lt;&gt;"",$I28&lt;&gt;"",$H28&lt;=S$4+6,$I28&gt;=S$4),1,"")</f>
        <v/>
      </c>
      <c r="T28" s="78">
        <f>IF(AND($H28&lt;&gt;"",$I28&lt;&gt;"",$H28&lt;=T$4+6,$I28&gt;=T$4),1,"")</f>
        <v/>
      </c>
      <c r="U28" s="78">
        <f>IF(AND($H28&lt;&gt;"",$I28&lt;&gt;"",$H28&lt;=U$4+6,$I28&gt;=U$4),1,"")</f>
        <v/>
      </c>
      <c r="V28" s="78">
        <f>IF(AND($H28&lt;&gt;"",$I28&lt;&gt;"",$H28&lt;=V$4+6,$I28&gt;=V$4),1,"")</f>
        <v/>
      </c>
      <c r="W28" s="78">
        <f>IF(AND($H28&lt;&gt;"",$I28&lt;&gt;"",$H28&lt;=W$4+6,$I28&gt;=W$4),1,"")</f>
        <v/>
      </c>
      <c r="X28" s="78">
        <f>IF(AND($H28&lt;&gt;"",$I28&lt;&gt;"",$H28&lt;=X$4+6,$I28&gt;=X$4),1,"")</f>
        <v/>
      </c>
      <c r="Y28" s="78">
        <f>IF(AND($H28&lt;&gt;"",$I28&lt;&gt;"",$H28&lt;=Y$4+6,$I28&gt;=Y$4),1,"")</f>
        <v/>
      </c>
      <c r="Z28" s="78">
        <f>IF(AND($H28&lt;&gt;"",$I28&lt;&gt;"",$H28&lt;=Z$4+6,$I28&gt;=Z$4),1,"")</f>
        <v/>
      </c>
      <c r="AA28" s="78">
        <f>IF(AND($H28&lt;&gt;"",$I28&lt;&gt;"",$H28&lt;=AA$4+6,$I28&gt;=AA$4),1,"")</f>
        <v/>
      </c>
      <c r="AB28" s="78">
        <f>IF(AND($H28&lt;&gt;"",$I28&lt;&gt;"",$H28&lt;=AB$4+6,$I28&gt;=AB$4),1,"")</f>
        <v/>
      </c>
      <c r="AC28" s="78">
        <f>IF(AND($H28&lt;&gt;"",$I28&lt;&gt;"",$H28&lt;=AC$4+6,$I28&gt;=AC$4),1,"")</f>
        <v/>
      </c>
      <c r="AD28" s="78">
        <f>IF(AND($H28&lt;&gt;"",$I28&lt;&gt;"",$H28&lt;=AD$4+6,$I28&gt;=AD$4),1,"")</f>
        <v/>
      </c>
      <c r="AE28" s="78">
        <f>IF(AND($H28&lt;&gt;"",$I28&lt;&gt;"",$H28&lt;=AE$4+6,$I28&gt;=AE$4),1,"")</f>
        <v/>
      </c>
      <c r="AF28" s="78">
        <f>IF(AND($H28&lt;&gt;"",$I28&lt;&gt;"",$H28&lt;=AF$4+6,$I28&gt;=AF$4),1,"")</f>
        <v/>
      </c>
      <c r="AG28" s="78">
        <f>IF(AND($H28&lt;&gt;"",$I28&lt;&gt;"",$H28&lt;=AG$4+6,$I28&gt;=AG$4),1,"")</f>
        <v/>
      </c>
      <c r="AH28" s="78">
        <f>IF(AND($H28&lt;&gt;"",$I28&lt;&gt;"",$H28&lt;=AH$4+6,$I28&gt;=AH$4),1,"")</f>
        <v/>
      </c>
      <c r="AI28" s="78">
        <f>IF(AND($H28&lt;&gt;"",$I28&lt;&gt;"",$H28&lt;=AI$4+6,$I28&gt;=AI$4),1,"")</f>
        <v/>
      </c>
      <c r="AJ28" s="78">
        <f>IF(AND($H28&lt;&gt;"",$I28&lt;&gt;"",$H28&lt;=AJ$4+6,$I28&gt;=AJ$4),1,"")</f>
        <v/>
      </c>
      <c r="AK28" s="78">
        <f>IF(AND($H28&lt;&gt;"",$I28&lt;&gt;"",$H28&lt;=AK$4+6,$I28&gt;=AK$4),1,"")</f>
        <v/>
      </c>
      <c r="AL28" s="78">
        <f>IF(AND($H28&lt;&gt;"",$I28&lt;&gt;"",$H28&lt;=AL$4+6,$I28&gt;=AL$4),1,"")</f>
        <v/>
      </c>
      <c r="AM28" s="78">
        <f>IF(AND($H28&lt;&gt;"",$I28&lt;&gt;"",$H28&lt;=AM$4+6,$I28&gt;=AM$4),1,"")</f>
        <v/>
      </c>
      <c r="AN28" s="78">
        <f>IF(AND($H28&lt;&gt;"",$I28&lt;&gt;"",$H28&lt;=AN$4+6,$I28&gt;=AN$4),1,"")</f>
        <v/>
      </c>
      <c r="AO28" s="78">
        <f>IF(AND($H28&lt;&gt;"",$I28&lt;&gt;"",$H28&lt;=AO$4+6,$I28&gt;=AO$4),1,"")</f>
        <v/>
      </c>
    </row>
    <row r="29" ht="28" customHeight="1">
      <c r="A29" s="65" t="n"/>
      <c r="B29" s="65" t="n"/>
      <c r="C29" s="65" t="n"/>
      <c r="D29" s="65" t="n"/>
      <c r="E29" s="65" t="n"/>
      <c r="F29" s="65" t="n"/>
      <c r="G29" s="65" t="n"/>
      <c r="H29" s="66" t="n"/>
      <c r="I29" s="66" t="n"/>
      <c r="J29" s="66" t="n"/>
      <c r="K29" s="66" t="n"/>
      <c r="L29" s="69">
        <f>IF(OR(H29="",I29=""),"",I29-H29+1)</f>
        <v/>
      </c>
      <c r="M29" s="67" t="n"/>
      <c r="N29" s="65" t="n"/>
      <c r="O29" s="69">
        <f>IF(OR(I29="",K29=""),"",I29-K29)</f>
        <v/>
      </c>
      <c r="P29" s="65" t="n"/>
      <c r="Q29" s="70" t="n"/>
      <c r="R29" s="78">
        <f>IF(AND($H29&lt;&gt;"",$I29&lt;&gt;"",$H29&lt;=R$4+6,$I29&gt;=R$4),1,"")</f>
        <v/>
      </c>
      <c r="S29" s="78">
        <f>IF(AND($H29&lt;&gt;"",$I29&lt;&gt;"",$H29&lt;=S$4+6,$I29&gt;=S$4),1,"")</f>
        <v/>
      </c>
      <c r="T29" s="78">
        <f>IF(AND($H29&lt;&gt;"",$I29&lt;&gt;"",$H29&lt;=T$4+6,$I29&gt;=T$4),1,"")</f>
        <v/>
      </c>
      <c r="U29" s="78">
        <f>IF(AND($H29&lt;&gt;"",$I29&lt;&gt;"",$H29&lt;=U$4+6,$I29&gt;=U$4),1,"")</f>
        <v/>
      </c>
      <c r="V29" s="78">
        <f>IF(AND($H29&lt;&gt;"",$I29&lt;&gt;"",$H29&lt;=V$4+6,$I29&gt;=V$4),1,"")</f>
        <v/>
      </c>
      <c r="W29" s="78">
        <f>IF(AND($H29&lt;&gt;"",$I29&lt;&gt;"",$H29&lt;=W$4+6,$I29&gt;=W$4),1,"")</f>
        <v/>
      </c>
      <c r="X29" s="78">
        <f>IF(AND($H29&lt;&gt;"",$I29&lt;&gt;"",$H29&lt;=X$4+6,$I29&gt;=X$4),1,"")</f>
        <v/>
      </c>
      <c r="Y29" s="78">
        <f>IF(AND($H29&lt;&gt;"",$I29&lt;&gt;"",$H29&lt;=Y$4+6,$I29&gt;=Y$4),1,"")</f>
        <v/>
      </c>
      <c r="Z29" s="78">
        <f>IF(AND($H29&lt;&gt;"",$I29&lt;&gt;"",$H29&lt;=Z$4+6,$I29&gt;=Z$4),1,"")</f>
        <v/>
      </c>
      <c r="AA29" s="78">
        <f>IF(AND($H29&lt;&gt;"",$I29&lt;&gt;"",$H29&lt;=AA$4+6,$I29&gt;=AA$4),1,"")</f>
        <v/>
      </c>
      <c r="AB29" s="78">
        <f>IF(AND($H29&lt;&gt;"",$I29&lt;&gt;"",$H29&lt;=AB$4+6,$I29&gt;=AB$4),1,"")</f>
        <v/>
      </c>
      <c r="AC29" s="78">
        <f>IF(AND($H29&lt;&gt;"",$I29&lt;&gt;"",$H29&lt;=AC$4+6,$I29&gt;=AC$4),1,"")</f>
        <v/>
      </c>
      <c r="AD29" s="78">
        <f>IF(AND($H29&lt;&gt;"",$I29&lt;&gt;"",$H29&lt;=AD$4+6,$I29&gt;=AD$4),1,"")</f>
        <v/>
      </c>
      <c r="AE29" s="78">
        <f>IF(AND($H29&lt;&gt;"",$I29&lt;&gt;"",$H29&lt;=AE$4+6,$I29&gt;=AE$4),1,"")</f>
        <v/>
      </c>
      <c r="AF29" s="78">
        <f>IF(AND($H29&lt;&gt;"",$I29&lt;&gt;"",$H29&lt;=AF$4+6,$I29&gt;=AF$4),1,"")</f>
        <v/>
      </c>
      <c r="AG29" s="78">
        <f>IF(AND($H29&lt;&gt;"",$I29&lt;&gt;"",$H29&lt;=AG$4+6,$I29&gt;=AG$4),1,"")</f>
        <v/>
      </c>
      <c r="AH29" s="78">
        <f>IF(AND($H29&lt;&gt;"",$I29&lt;&gt;"",$H29&lt;=AH$4+6,$I29&gt;=AH$4),1,"")</f>
        <v/>
      </c>
      <c r="AI29" s="78">
        <f>IF(AND($H29&lt;&gt;"",$I29&lt;&gt;"",$H29&lt;=AI$4+6,$I29&gt;=AI$4),1,"")</f>
        <v/>
      </c>
      <c r="AJ29" s="78">
        <f>IF(AND($H29&lt;&gt;"",$I29&lt;&gt;"",$H29&lt;=AJ$4+6,$I29&gt;=AJ$4),1,"")</f>
        <v/>
      </c>
      <c r="AK29" s="78">
        <f>IF(AND($H29&lt;&gt;"",$I29&lt;&gt;"",$H29&lt;=AK$4+6,$I29&gt;=AK$4),1,"")</f>
        <v/>
      </c>
      <c r="AL29" s="78">
        <f>IF(AND($H29&lt;&gt;"",$I29&lt;&gt;"",$H29&lt;=AL$4+6,$I29&gt;=AL$4),1,"")</f>
        <v/>
      </c>
      <c r="AM29" s="78">
        <f>IF(AND($H29&lt;&gt;"",$I29&lt;&gt;"",$H29&lt;=AM$4+6,$I29&gt;=AM$4),1,"")</f>
        <v/>
      </c>
      <c r="AN29" s="78">
        <f>IF(AND($H29&lt;&gt;"",$I29&lt;&gt;"",$H29&lt;=AN$4+6,$I29&gt;=AN$4),1,"")</f>
        <v/>
      </c>
      <c r="AO29" s="78">
        <f>IF(AND($H29&lt;&gt;"",$I29&lt;&gt;"",$H29&lt;=AO$4+6,$I29&gt;=AO$4),1,"")</f>
        <v/>
      </c>
    </row>
    <row r="30" ht="28" customHeight="1">
      <c r="A30" s="65" t="n"/>
      <c r="B30" s="65" t="n"/>
      <c r="C30" s="65" t="n"/>
      <c r="D30" s="65" t="n"/>
      <c r="E30" s="65" t="n"/>
      <c r="F30" s="65" t="n"/>
      <c r="G30" s="65" t="n"/>
      <c r="H30" s="66" t="n"/>
      <c r="I30" s="66" t="n"/>
      <c r="J30" s="66" t="n"/>
      <c r="K30" s="66" t="n"/>
      <c r="L30" s="69">
        <f>IF(OR(H30="",I30=""),"",I30-H30+1)</f>
        <v/>
      </c>
      <c r="M30" s="67" t="n"/>
      <c r="N30" s="65" t="n"/>
      <c r="O30" s="69">
        <f>IF(OR(I30="",K30=""),"",I30-K30)</f>
        <v/>
      </c>
      <c r="P30" s="65" t="n"/>
      <c r="Q30" s="70" t="n"/>
      <c r="R30" s="78">
        <f>IF(AND($H30&lt;&gt;"",$I30&lt;&gt;"",$H30&lt;=R$4+6,$I30&gt;=R$4),1,"")</f>
        <v/>
      </c>
      <c r="S30" s="78">
        <f>IF(AND($H30&lt;&gt;"",$I30&lt;&gt;"",$H30&lt;=S$4+6,$I30&gt;=S$4),1,"")</f>
        <v/>
      </c>
      <c r="T30" s="78">
        <f>IF(AND($H30&lt;&gt;"",$I30&lt;&gt;"",$H30&lt;=T$4+6,$I30&gt;=T$4),1,"")</f>
        <v/>
      </c>
      <c r="U30" s="78">
        <f>IF(AND($H30&lt;&gt;"",$I30&lt;&gt;"",$H30&lt;=U$4+6,$I30&gt;=U$4),1,"")</f>
        <v/>
      </c>
      <c r="V30" s="78">
        <f>IF(AND($H30&lt;&gt;"",$I30&lt;&gt;"",$H30&lt;=V$4+6,$I30&gt;=V$4),1,"")</f>
        <v/>
      </c>
      <c r="W30" s="78">
        <f>IF(AND($H30&lt;&gt;"",$I30&lt;&gt;"",$H30&lt;=W$4+6,$I30&gt;=W$4),1,"")</f>
        <v/>
      </c>
      <c r="X30" s="78">
        <f>IF(AND($H30&lt;&gt;"",$I30&lt;&gt;"",$H30&lt;=X$4+6,$I30&gt;=X$4),1,"")</f>
        <v/>
      </c>
      <c r="Y30" s="78">
        <f>IF(AND($H30&lt;&gt;"",$I30&lt;&gt;"",$H30&lt;=Y$4+6,$I30&gt;=Y$4),1,"")</f>
        <v/>
      </c>
      <c r="Z30" s="78">
        <f>IF(AND($H30&lt;&gt;"",$I30&lt;&gt;"",$H30&lt;=Z$4+6,$I30&gt;=Z$4),1,"")</f>
        <v/>
      </c>
      <c r="AA30" s="78">
        <f>IF(AND($H30&lt;&gt;"",$I30&lt;&gt;"",$H30&lt;=AA$4+6,$I30&gt;=AA$4),1,"")</f>
        <v/>
      </c>
      <c r="AB30" s="78">
        <f>IF(AND($H30&lt;&gt;"",$I30&lt;&gt;"",$H30&lt;=AB$4+6,$I30&gt;=AB$4),1,"")</f>
        <v/>
      </c>
      <c r="AC30" s="78">
        <f>IF(AND($H30&lt;&gt;"",$I30&lt;&gt;"",$H30&lt;=AC$4+6,$I30&gt;=AC$4),1,"")</f>
        <v/>
      </c>
      <c r="AD30" s="78">
        <f>IF(AND($H30&lt;&gt;"",$I30&lt;&gt;"",$H30&lt;=AD$4+6,$I30&gt;=AD$4),1,"")</f>
        <v/>
      </c>
      <c r="AE30" s="78">
        <f>IF(AND($H30&lt;&gt;"",$I30&lt;&gt;"",$H30&lt;=AE$4+6,$I30&gt;=AE$4),1,"")</f>
        <v/>
      </c>
      <c r="AF30" s="78">
        <f>IF(AND($H30&lt;&gt;"",$I30&lt;&gt;"",$H30&lt;=AF$4+6,$I30&gt;=AF$4),1,"")</f>
        <v/>
      </c>
      <c r="AG30" s="78">
        <f>IF(AND($H30&lt;&gt;"",$I30&lt;&gt;"",$H30&lt;=AG$4+6,$I30&gt;=AG$4),1,"")</f>
        <v/>
      </c>
      <c r="AH30" s="78">
        <f>IF(AND($H30&lt;&gt;"",$I30&lt;&gt;"",$H30&lt;=AH$4+6,$I30&gt;=AH$4),1,"")</f>
        <v/>
      </c>
      <c r="AI30" s="78">
        <f>IF(AND($H30&lt;&gt;"",$I30&lt;&gt;"",$H30&lt;=AI$4+6,$I30&gt;=AI$4),1,"")</f>
        <v/>
      </c>
      <c r="AJ30" s="78">
        <f>IF(AND($H30&lt;&gt;"",$I30&lt;&gt;"",$H30&lt;=AJ$4+6,$I30&gt;=AJ$4),1,"")</f>
        <v/>
      </c>
      <c r="AK30" s="78">
        <f>IF(AND($H30&lt;&gt;"",$I30&lt;&gt;"",$H30&lt;=AK$4+6,$I30&gt;=AK$4),1,"")</f>
        <v/>
      </c>
      <c r="AL30" s="78">
        <f>IF(AND($H30&lt;&gt;"",$I30&lt;&gt;"",$H30&lt;=AL$4+6,$I30&gt;=AL$4),1,"")</f>
        <v/>
      </c>
      <c r="AM30" s="78">
        <f>IF(AND($H30&lt;&gt;"",$I30&lt;&gt;"",$H30&lt;=AM$4+6,$I30&gt;=AM$4),1,"")</f>
        <v/>
      </c>
      <c r="AN30" s="78">
        <f>IF(AND($H30&lt;&gt;"",$I30&lt;&gt;"",$H30&lt;=AN$4+6,$I30&gt;=AN$4),1,"")</f>
        <v/>
      </c>
      <c r="AO30" s="78">
        <f>IF(AND($H30&lt;&gt;"",$I30&lt;&gt;"",$H30&lt;=AO$4+6,$I30&gt;=AO$4),1,"")</f>
        <v/>
      </c>
    </row>
    <row r="31" ht="28" customHeight="1">
      <c r="A31" s="65" t="n"/>
      <c r="B31" s="65" t="n"/>
      <c r="C31" s="65" t="n"/>
      <c r="D31" s="65" t="n"/>
      <c r="E31" s="65" t="n"/>
      <c r="F31" s="65" t="n"/>
      <c r="G31" s="65" t="n"/>
      <c r="H31" s="66" t="n"/>
      <c r="I31" s="66" t="n"/>
      <c r="J31" s="66" t="n"/>
      <c r="K31" s="66" t="n"/>
      <c r="L31" s="69">
        <f>IF(OR(H31="",I31=""),"",I31-H31+1)</f>
        <v/>
      </c>
      <c r="M31" s="67" t="n"/>
      <c r="N31" s="65" t="n"/>
      <c r="O31" s="69">
        <f>IF(OR(I31="",K31=""),"",I31-K31)</f>
        <v/>
      </c>
      <c r="P31" s="65" t="n"/>
      <c r="Q31" s="70" t="n"/>
      <c r="R31" s="78">
        <f>IF(AND($H31&lt;&gt;"",$I31&lt;&gt;"",$H31&lt;=R$4+6,$I31&gt;=R$4),1,"")</f>
        <v/>
      </c>
      <c r="S31" s="78">
        <f>IF(AND($H31&lt;&gt;"",$I31&lt;&gt;"",$H31&lt;=S$4+6,$I31&gt;=S$4),1,"")</f>
        <v/>
      </c>
      <c r="T31" s="78">
        <f>IF(AND($H31&lt;&gt;"",$I31&lt;&gt;"",$H31&lt;=T$4+6,$I31&gt;=T$4),1,"")</f>
        <v/>
      </c>
      <c r="U31" s="78">
        <f>IF(AND($H31&lt;&gt;"",$I31&lt;&gt;"",$H31&lt;=U$4+6,$I31&gt;=U$4),1,"")</f>
        <v/>
      </c>
      <c r="V31" s="78">
        <f>IF(AND($H31&lt;&gt;"",$I31&lt;&gt;"",$H31&lt;=V$4+6,$I31&gt;=V$4),1,"")</f>
        <v/>
      </c>
      <c r="W31" s="78">
        <f>IF(AND($H31&lt;&gt;"",$I31&lt;&gt;"",$H31&lt;=W$4+6,$I31&gt;=W$4),1,"")</f>
        <v/>
      </c>
      <c r="X31" s="78">
        <f>IF(AND($H31&lt;&gt;"",$I31&lt;&gt;"",$H31&lt;=X$4+6,$I31&gt;=X$4),1,"")</f>
        <v/>
      </c>
      <c r="Y31" s="78">
        <f>IF(AND($H31&lt;&gt;"",$I31&lt;&gt;"",$H31&lt;=Y$4+6,$I31&gt;=Y$4),1,"")</f>
        <v/>
      </c>
      <c r="Z31" s="78">
        <f>IF(AND($H31&lt;&gt;"",$I31&lt;&gt;"",$H31&lt;=Z$4+6,$I31&gt;=Z$4),1,"")</f>
        <v/>
      </c>
      <c r="AA31" s="78">
        <f>IF(AND($H31&lt;&gt;"",$I31&lt;&gt;"",$H31&lt;=AA$4+6,$I31&gt;=AA$4),1,"")</f>
        <v/>
      </c>
      <c r="AB31" s="78">
        <f>IF(AND($H31&lt;&gt;"",$I31&lt;&gt;"",$H31&lt;=AB$4+6,$I31&gt;=AB$4),1,"")</f>
        <v/>
      </c>
      <c r="AC31" s="78">
        <f>IF(AND($H31&lt;&gt;"",$I31&lt;&gt;"",$H31&lt;=AC$4+6,$I31&gt;=AC$4),1,"")</f>
        <v/>
      </c>
      <c r="AD31" s="78">
        <f>IF(AND($H31&lt;&gt;"",$I31&lt;&gt;"",$H31&lt;=AD$4+6,$I31&gt;=AD$4),1,"")</f>
        <v/>
      </c>
      <c r="AE31" s="78">
        <f>IF(AND($H31&lt;&gt;"",$I31&lt;&gt;"",$H31&lt;=AE$4+6,$I31&gt;=AE$4),1,"")</f>
        <v/>
      </c>
      <c r="AF31" s="78">
        <f>IF(AND($H31&lt;&gt;"",$I31&lt;&gt;"",$H31&lt;=AF$4+6,$I31&gt;=AF$4),1,"")</f>
        <v/>
      </c>
      <c r="AG31" s="78">
        <f>IF(AND($H31&lt;&gt;"",$I31&lt;&gt;"",$H31&lt;=AG$4+6,$I31&gt;=AG$4),1,"")</f>
        <v/>
      </c>
      <c r="AH31" s="78">
        <f>IF(AND($H31&lt;&gt;"",$I31&lt;&gt;"",$H31&lt;=AH$4+6,$I31&gt;=AH$4),1,"")</f>
        <v/>
      </c>
      <c r="AI31" s="78">
        <f>IF(AND($H31&lt;&gt;"",$I31&lt;&gt;"",$H31&lt;=AI$4+6,$I31&gt;=AI$4),1,"")</f>
        <v/>
      </c>
      <c r="AJ31" s="78">
        <f>IF(AND($H31&lt;&gt;"",$I31&lt;&gt;"",$H31&lt;=AJ$4+6,$I31&gt;=AJ$4),1,"")</f>
        <v/>
      </c>
      <c r="AK31" s="78">
        <f>IF(AND($H31&lt;&gt;"",$I31&lt;&gt;"",$H31&lt;=AK$4+6,$I31&gt;=AK$4),1,"")</f>
        <v/>
      </c>
      <c r="AL31" s="78">
        <f>IF(AND($H31&lt;&gt;"",$I31&lt;&gt;"",$H31&lt;=AL$4+6,$I31&gt;=AL$4),1,"")</f>
        <v/>
      </c>
      <c r="AM31" s="78">
        <f>IF(AND($H31&lt;&gt;"",$I31&lt;&gt;"",$H31&lt;=AM$4+6,$I31&gt;=AM$4),1,"")</f>
        <v/>
      </c>
      <c r="AN31" s="78">
        <f>IF(AND($H31&lt;&gt;"",$I31&lt;&gt;"",$H31&lt;=AN$4+6,$I31&gt;=AN$4),1,"")</f>
        <v/>
      </c>
      <c r="AO31" s="78">
        <f>IF(AND($H31&lt;&gt;"",$I31&lt;&gt;"",$H31&lt;=AO$4+6,$I31&gt;=AO$4),1,"")</f>
        <v/>
      </c>
    </row>
    <row r="32" ht="28" customHeight="1">
      <c r="A32" s="65" t="n"/>
      <c r="B32" s="65" t="n"/>
      <c r="C32" s="65" t="n"/>
      <c r="D32" s="65" t="n"/>
      <c r="E32" s="65" t="n"/>
      <c r="F32" s="65" t="n"/>
      <c r="G32" s="65" t="n"/>
      <c r="H32" s="66" t="n"/>
      <c r="I32" s="66" t="n"/>
      <c r="J32" s="66" t="n"/>
      <c r="K32" s="66" t="n"/>
      <c r="L32" s="69">
        <f>IF(OR(H32="",I32=""),"",I32-H32+1)</f>
        <v/>
      </c>
      <c r="M32" s="67" t="n"/>
      <c r="N32" s="65" t="n"/>
      <c r="O32" s="69">
        <f>IF(OR(I32="",K32=""),"",I32-K32)</f>
        <v/>
      </c>
      <c r="P32" s="65" t="n"/>
      <c r="Q32" s="70" t="n"/>
      <c r="R32" s="78">
        <f>IF(AND($H32&lt;&gt;"",$I32&lt;&gt;"",$H32&lt;=R$4+6,$I32&gt;=R$4),1,"")</f>
        <v/>
      </c>
      <c r="S32" s="78">
        <f>IF(AND($H32&lt;&gt;"",$I32&lt;&gt;"",$H32&lt;=S$4+6,$I32&gt;=S$4),1,"")</f>
        <v/>
      </c>
      <c r="T32" s="78">
        <f>IF(AND($H32&lt;&gt;"",$I32&lt;&gt;"",$H32&lt;=T$4+6,$I32&gt;=T$4),1,"")</f>
        <v/>
      </c>
      <c r="U32" s="78">
        <f>IF(AND($H32&lt;&gt;"",$I32&lt;&gt;"",$H32&lt;=U$4+6,$I32&gt;=U$4),1,"")</f>
        <v/>
      </c>
      <c r="V32" s="78">
        <f>IF(AND($H32&lt;&gt;"",$I32&lt;&gt;"",$H32&lt;=V$4+6,$I32&gt;=V$4),1,"")</f>
        <v/>
      </c>
      <c r="W32" s="78">
        <f>IF(AND($H32&lt;&gt;"",$I32&lt;&gt;"",$H32&lt;=W$4+6,$I32&gt;=W$4),1,"")</f>
        <v/>
      </c>
      <c r="X32" s="78">
        <f>IF(AND($H32&lt;&gt;"",$I32&lt;&gt;"",$H32&lt;=X$4+6,$I32&gt;=X$4),1,"")</f>
        <v/>
      </c>
      <c r="Y32" s="78">
        <f>IF(AND($H32&lt;&gt;"",$I32&lt;&gt;"",$H32&lt;=Y$4+6,$I32&gt;=Y$4),1,"")</f>
        <v/>
      </c>
      <c r="Z32" s="78">
        <f>IF(AND($H32&lt;&gt;"",$I32&lt;&gt;"",$H32&lt;=Z$4+6,$I32&gt;=Z$4),1,"")</f>
        <v/>
      </c>
      <c r="AA32" s="78">
        <f>IF(AND($H32&lt;&gt;"",$I32&lt;&gt;"",$H32&lt;=AA$4+6,$I32&gt;=AA$4),1,"")</f>
        <v/>
      </c>
      <c r="AB32" s="78">
        <f>IF(AND($H32&lt;&gt;"",$I32&lt;&gt;"",$H32&lt;=AB$4+6,$I32&gt;=AB$4),1,"")</f>
        <v/>
      </c>
      <c r="AC32" s="78">
        <f>IF(AND($H32&lt;&gt;"",$I32&lt;&gt;"",$H32&lt;=AC$4+6,$I32&gt;=AC$4),1,"")</f>
        <v/>
      </c>
      <c r="AD32" s="78">
        <f>IF(AND($H32&lt;&gt;"",$I32&lt;&gt;"",$H32&lt;=AD$4+6,$I32&gt;=AD$4),1,"")</f>
        <v/>
      </c>
      <c r="AE32" s="78">
        <f>IF(AND($H32&lt;&gt;"",$I32&lt;&gt;"",$H32&lt;=AE$4+6,$I32&gt;=AE$4),1,"")</f>
        <v/>
      </c>
      <c r="AF32" s="78">
        <f>IF(AND($H32&lt;&gt;"",$I32&lt;&gt;"",$H32&lt;=AF$4+6,$I32&gt;=AF$4),1,"")</f>
        <v/>
      </c>
      <c r="AG32" s="78">
        <f>IF(AND($H32&lt;&gt;"",$I32&lt;&gt;"",$H32&lt;=AG$4+6,$I32&gt;=AG$4),1,"")</f>
        <v/>
      </c>
      <c r="AH32" s="78">
        <f>IF(AND($H32&lt;&gt;"",$I32&lt;&gt;"",$H32&lt;=AH$4+6,$I32&gt;=AH$4),1,"")</f>
        <v/>
      </c>
      <c r="AI32" s="78">
        <f>IF(AND($H32&lt;&gt;"",$I32&lt;&gt;"",$H32&lt;=AI$4+6,$I32&gt;=AI$4),1,"")</f>
        <v/>
      </c>
      <c r="AJ32" s="78">
        <f>IF(AND($H32&lt;&gt;"",$I32&lt;&gt;"",$H32&lt;=AJ$4+6,$I32&gt;=AJ$4),1,"")</f>
        <v/>
      </c>
      <c r="AK32" s="78">
        <f>IF(AND($H32&lt;&gt;"",$I32&lt;&gt;"",$H32&lt;=AK$4+6,$I32&gt;=AK$4),1,"")</f>
        <v/>
      </c>
      <c r="AL32" s="78">
        <f>IF(AND($H32&lt;&gt;"",$I32&lt;&gt;"",$H32&lt;=AL$4+6,$I32&gt;=AL$4),1,"")</f>
        <v/>
      </c>
      <c r="AM32" s="78">
        <f>IF(AND($H32&lt;&gt;"",$I32&lt;&gt;"",$H32&lt;=AM$4+6,$I32&gt;=AM$4),1,"")</f>
        <v/>
      </c>
      <c r="AN32" s="78">
        <f>IF(AND($H32&lt;&gt;"",$I32&lt;&gt;"",$H32&lt;=AN$4+6,$I32&gt;=AN$4),1,"")</f>
        <v/>
      </c>
      <c r="AO32" s="78">
        <f>IF(AND($H32&lt;&gt;"",$I32&lt;&gt;"",$H32&lt;=AO$4+6,$I32&gt;=AO$4),1,"")</f>
        <v/>
      </c>
    </row>
    <row r="33" ht="28" customHeight="1">
      <c r="A33" s="65" t="n"/>
      <c r="B33" s="65" t="n"/>
      <c r="C33" s="65" t="n"/>
      <c r="D33" s="65" t="n"/>
      <c r="E33" s="65" t="n"/>
      <c r="F33" s="65" t="n"/>
      <c r="G33" s="65" t="n"/>
      <c r="H33" s="66" t="n"/>
      <c r="I33" s="66" t="n"/>
      <c r="J33" s="66" t="n"/>
      <c r="K33" s="66" t="n"/>
      <c r="L33" s="69">
        <f>IF(OR(H33="",I33=""),"",I33-H33+1)</f>
        <v/>
      </c>
      <c r="M33" s="67" t="n"/>
      <c r="N33" s="65" t="n"/>
      <c r="O33" s="69">
        <f>IF(OR(I33="",K33=""),"",I33-K33)</f>
        <v/>
      </c>
      <c r="P33" s="65" t="n"/>
      <c r="Q33" s="70" t="n"/>
      <c r="R33" s="78">
        <f>IF(AND($H33&lt;&gt;"",$I33&lt;&gt;"",$H33&lt;=R$4+6,$I33&gt;=R$4),1,"")</f>
        <v/>
      </c>
      <c r="S33" s="78">
        <f>IF(AND($H33&lt;&gt;"",$I33&lt;&gt;"",$H33&lt;=S$4+6,$I33&gt;=S$4),1,"")</f>
        <v/>
      </c>
      <c r="T33" s="78">
        <f>IF(AND($H33&lt;&gt;"",$I33&lt;&gt;"",$H33&lt;=T$4+6,$I33&gt;=T$4),1,"")</f>
        <v/>
      </c>
      <c r="U33" s="78">
        <f>IF(AND($H33&lt;&gt;"",$I33&lt;&gt;"",$H33&lt;=U$4+6,$I33&gt;=U$4),1,"")</f>
        <v/>
      </c>
      <c r="V33" s="78">
        <f>IF(AND($H33&lt;&gt;"",$I33&lt;&gt;"",$H33&lt;=V$4+6,$I33&gt;=V$4),1,"")</f>
        <v/>
      </c>
      <c r="W33" s="78">
        <f>IF(AND($H33&lt;&gt;"",$I33&lt;&gt;"",$H33&lt;=W$4+6,$I33&gt;=W$4),1,"")</f>
        <v/>
      </c>
      <c r="X33" s="78">
        <f>IF(AND($H33&lt;&gt;"",$I33&lt;&gt;"",$H33&lt;=X$4+6,$I33&gt;=X$4),1,"")</f>
        <v/>
      </c>
      <c r="Y33" s="78">
        <f>IF(AND($H33&lt;&gt;"",$I33&lt;&gt;"",$H33&lt;=Y$4+6,$I33&gt;=Y$4),1,"")</f>
        <v/>
      </c>
      <c r="Z33" s="78">
        <f>IF(AND($H33&lt;&gt;"",$I33&lt;&gt;"",$H33&lt;=Z$4+6,$I33&gt;=Z$4),1,"")</f>
        <v/>
      </c>
      <c r="AA33" s="78">
        <f>IF(AND($H33&lt;&gt;"",$I33&lt;&gt;"",$H33&lt;=AA$4+6,$I33&gt;=AA$4),1,"")</f>
        <v/>
      </c>
      <c r="AB33" s="78">
        <f>IF(AND($H33&lt;&gt;"",$I33&lt;&gt;"",$H33&lt;=AB$4+6,$I33&gt;=AB$4),1,"")</f>
        <v/>
      </c>
      <c r="AC33" s="78">
        <f>IF(AND($H33&lt;&gt;"",$I33&lt;&gt;"",$H33&lt;=AC$4+6,$I33&gt;=AC$4),1,"")</f>
        <v/>
      </c>
      <c r="AD33" s="78">
        <f>IF(AND($H33&lt;&gt;"",$I33&lt;&gt;"",$H33&lt;=AD$4+6,$I33&gt;=AD$4),1,"")</f>
        <v/>
      </c>
      <c r="AE33" s="78">
        <f>IF(AND($H33&lt;&gt;"",$I33&lt;&gt;"",$H33&lt;=AE$4+6,$I33&gt;=AE$4),1,"")</f>
        <v/>
      </c>
      <c r="AF33" s="78">
        <f>IF(AND($H33&lt;&gt;"",$I33&lt;&gt;"",$H33&lt;=AF$4+6,$I33&gt;=AF$4),1,"")</f>
        <v/>
      </c>
      <c r="AG33" s="78">
        <f>IF(AND($H33&lt;&gt;"",$I33&lt;&gt;"",$H33&lt;=AG$4+6,$I33&gt;=AG$4),1,"")</f>
        <v/>
      </c>
      <c r="AH33" s="78">
        <f>IF(AND($H33&lt;&gt;"",$I33&lt;&gt;"",$H33&lt;=AH$4+6,$I33&gt;=AH$4),1,"")</f>
        <v/>
      </c>
      <c r="AI33" s="78">
        <f>IF(AND($H33&lt;&gt;"",$I33&lt;&gt;"",$H33&lt;=AI$4+6,$I33&gt;=AI$4),1,"")</f>
        <v/>
      </c>
      <c r="AJ33" s="78">
        <f>IF(AND($H33&lt;&gt;"",$I33&lt;&gt;"",$H33&lt;=AJ$4+6,$I33&gt;=AJ$4),1,"")</f>
        <v/>
      </c>
      <c r="AK33" s="78">
        <f>IF(AND($H33&lt;&gt;"",$I33&lt;&gt;"",$H33&lt;=AK$4+6,$I33&gt;=AK$4),1,"")</f>
        <v/>
      </c>
      <c r="AL33" s="78">
        <f>IF(AND($H33&lt;&gt;"",$I33&lt;&gt;"",$H33&lt;=AL$4+6,$I33&gt;=AL$4),1,"")</f>
        <v/>
      </c>
      <c r="AM33" s="78">
        <f>IF(AND($H33&lt;&gt;"",$I33&lt;&gt;"",$H33&lt;=AM$4+6,$I33&gt;=AM$4),1,"")</f>
        <v/>
      </c>
      <c r="AN33" s="78">
        <f>IF(AND($H33&lt;&gt;"",$I33&lt;&gt;"",$H33&lt;=AN$4+6,$I33&gt;=AN$4),1,"")</f>
        <v/>
      </c>
      <c r="AO33" s="78">
        <f>IF(AND($H33&lt;&gt;"",$I33&lt;&gt;"",$H33&lt;=AO$4+6,$I33&gt;=AO$4),1,"")</f>
        <v/>
      </c>
    </row>
    <row r="34" ht="28" customHeight="1">
      <c r="A34" s="65" t="n"/>
      <c r="B34" s="65" t="n"/>
      <c r="C34" s="65" t="n"/>
      <c r="D34" s="65" t="n"/>
      <c r="E34" s="65" t="n"/>
      <c r="F34" s="65" t="n"/>
      <c r="G34" s="65" t="n"/>
      <c r="H34" s="66" t="n"/>
      <c r="I34" s="66" t="n"/>
      <c r="J34" s="66" t="n"/>
      <c r="K34" s="66" t="n"/>
      <c r="L34" s="69">
        <f>IF(OR(H34="",I34=""),"",I34-H34+1)</f>
        <v/>
      </c>
      <c r="M34" s="67" t="n"/>
      <c r="N34" s="65" t="n"/>
      <c r="O34" s="69">
        <f>IF(OR(I34="",K34=""),"",I34-K34)</f>
        <v/>
      </c>
      <c r="P34" s="65" t="n"/>
      <c r="Q34" s="70" t="n"/>
      <c r="R34" s="78">
        <f>IF(AND($H34&lt;&gt;"",$I34&lt;&gt;"",$H34&lt;=R$4+6,$I34&gt;=R$4),1,"")</f>
        <v/>
      </c>
      <c r="S34" s="78">
        <f>IF(AND($H34&lt;&gt;"",$I34&lt;&gt;"",$H34&lt;=S$4+6,$I34&gt;=S$4),1,"")</f>
        <v/>
      </c>
      <c r="T34" s="78">
        <f>IF(AND($H34&lt;&gt;"",$I34&lt;&gt;"",$H34&lt;=T$4+6,$I34&gt;=T$4),1,"")</f>
        <v/>
      </c>
      <c r="U34" s="78">
        <f>IF(AND($H34&lt;&gt;"",$I34&lt;&gt;"",$H34&lt;=U$4+6,$I34&gt;=U$4),1,"")</f>
        <v/>
      </c>
      <c r="V34" s="78">
        <f>IF(AND($H34&lt;&gt;"",$I34&lt;&gt;"",$H34&lt;=V$4+6,$I34&gt;=V$4),1,"")</f>
        <v/>
      </c>
      <c r="W34" s="78">
        <f>IF(AND($H34&lt;&gt;"",$I34&lt;&gt;"",$H34&lt;=W$4+6,$I34&gt;=W$4),1,"")</f>
        <v/>
      </c>
      <c r="X34" s="78">
        <f>IF(AND($H34&lt;&gt;"",$I34&lt;&gt;"",$H34&lt;=X$4+6,$I34&gt;=X$4),1,"")</f>
        <v/>
      </c>
      <c r="Y34" s="78">
        <f>IF(AND($H34&lt;&gt;"",$I34&lt;&gt;"",$H34&lt;=Y$4+6,$I34&gt;=Y$4),1,"")</f>
        <v/>
      </c>
      <c r="Z34" s="78">
        <f>IF(AND($H34&lt;&gt;"",$I34&lt;&gt;"",$H34&lt;=Z$4+6,$I34&gt;=Z$4),1,"")</f>
        <v/>
      </c>
      <c r="AA34" s="78">
        <f>IF(AND($H34&lt;&gt;"",$I34&lt;&gt;"",$H34&lt;=AA$4+6,$I34&gt;=AA$4),1,"")</f>
        <v/>
      </c>
      <c r="AB34" s="78">
        <f>IF(AND($H34&lt;&gt;"",$I34&lt;&gt;"",$H34&lt;=AB$4+6,$I34&gt;=AB$4),1,"")</f>
        <v/>
      </c>
      <c r="AC34" s="78">
        <f>IF(AND($H34&lt;&gt;"",$I34&lt;&gt;"",$H34&lt;=AC$4+6,$I34&gt;=AC$4),1,"")</f>
        <v/>
      </c>
      <c r="AD34" s="78">
        <f>IF(AND($H34&lt;&gt;"",$I34&lt;&gt;"",$H34&lt;=AD$4+6,$I34&gt;=AD$4),1,"")</f>
        <v/>
      </c>
      <c r="AE34" s="78">
        <f>IF(AND($H34&lt;&gt;"",$I34&lt;&gt;"",$H34&lt;=AE$4+6,$I34&gt;=AE$4),1,"")</f>
        <v/>
      </c>
      <c r="AF34" s="78">
        <f>IF(AND($H34&lt;&gt;"",$I34&lt;&gt;"",$H34&lt;=AF$4+6,$I34&gt;=AF$4),1,"")</f>
        <v/>
      </c>
      <c r="AG34" s="78">
        <f>IF(AND($H34&lt;&gt;"",$I34&lt;&gt;"",$H34&lt;=AG$4+6,$I34&gt;=AG$4),1,"")</f>
        <v/>
      </c>
      <c r="AH34" s="78">
        <f>IF(AND($H34&lt;&gt;"",$I34&lt;&gt;"",$H34&lt;=AH$4+6,$I34&gt;=AH$4),1,"")</f>
        <v/>
      </c>
      <c r="AI34" s="78">
        <f>IF(AND($H34&lt;&gt;"",$I34&lt;&gt;"",$H34&lt;=AI$4+6,$I34&gt;=AI$4),1,"")</f>
        <v/>
      </c>
      <c r="AJ34" s="78">
        <f>IF(AND($H34&lt;&gt;"",$I34&lt;&gt;"",$H34&lt;=AJ$4+6,$I34&gt;=AJ$4),1,"")</f>
        <v/>
      </c>
      <c r="AK34" s="78">
        <f>IF(AND($H34&lt;&gt;"",$I34&lt;&gt;"",$H34&lt;=AK$4+6,$I34&gt;=AK$4),1,"")</f>
        <v/>
      </c>
      <c r="AL34" s="78">
        <f>IF(AND($H34&lt;&gt;"",$I34&lt;&gt;"",$H34&lt;=AL$4+6,$I34&gt;=AL$4),1,"")</f>
        <v/>
      </c>
      <c r="AM34" s="78">
        <f>IF(AND($H34&lt;&gt;"",$I34&lt;&gt;"",$H34&lt;=AM$4+6,$I34&gt;=AM$4),1,"")</f>
        <v/>
      </c>
      <c r="AN34" s="78">
        <f>IF(AND($H34&lt;&gt;"",$I34&lt;&gt;"",$H34&lt;=AN$4+6,$I34&gt;=AN$4),1,"")</f>
        <v/>
      </c>
      <c r="AO34" s="78">
        <f>IF(AND($H34&lt;&gt;"",$I34&lt;&gt;"",$H34&lt;=AO$4+6,$I34&gt;=AO$4),1,"")</f>
        <v/>
      </c>
    </row>
    <row r="36" ht="18" customHeight="1">
      <c r="A36" s="6" t="inlineStr">
        <is>
          <t>LEGEND:   dark blue = complete   |   blue = in progress   |   red = blocked   |   grey = not started   |   red date column = the current week</t>
        </is>
      </c>
    </row>
  </sheetData>
  <mergeCells count="4">
    <mergeCell ref="A36:AO36"/>
    <mergeCell ref="A2:Q2"/>
    <mergeCell ref="A3:AO3"/>
    <mergeCell ref="A1:Q1"/>
  </mergeCells>
  <conditionalFormatting sqref="N5:N34">
    <cfRule type="expression" priority="1" dxfId="8" stopIfTrue="1">
      <formula>EXACT($N5,"Not Started")</formula>
    </cfRule>
    <cfRule type="expression" priority="2" dxfId="4" stopIfTrue="1">
      <formula>EXACT($N5,"In Progress")</formula>
    </cfRule>
    <cfRule type="expression" priority="3" dxfId="3" stopIfTrue="1">
      <formula>EXACT($N5,"Complete")</formula>
    </cfRule>
    <cfRule type="expression" priority="4" dxfId="5" stopIfTrue="1">
      <formula>EXACT($N5,"Blocked")</formula>
    </cfRule>
  </conditionalFormatting>
  <conditionalFormatting sqref="M5:M34">
    <cfRule type="dataBar" priority="5">
      <dataBar>
        <cfvo type="num" val="0"/>
        <cfvo type="num" val="1"/>
        <color rgb="002E75B6"/>
      </dataBar>
    </cfRule>
  </conditionalFormatting>
  <conditionalFormatting sqref="O5:O34">
    <cfRule type="expression" priority="6" dxfId="5" stopIfTrue="0">
      <formula>AND(ISNUMBER($O5),$O5&gt;5)</formula>
    </cfRule>
    <cfRule type="expression" priority="7" dxfId="4" stopIfTrue="0">
      <formula>AND(ISNUMBER($O5),$O5&gt;0,$O5&lt;=5)</formula>
    </cfRule>
    <cfRule type="expression" priority="8" dxfId="3" stopIfTrue="0">
      <formula>AND(ISNUMBER($O5),$O5&lt;=0)</formula>
    </cfRule>
  </conditionalFormatting>
  <conditionalFormatting sqref="A5:A34">
    <cfRule type="expression" priority="9" dxfId="5" stopIfTrue="0">
      <formula>AND($A5&lt;&gt;"",COUNTIF($A$5:$A$34,$A5)&gt;1)</formula>
    </cfRule>
  </conditionalFormatting>
  <conditionalFormatting sqref="F5:F34">
    <cfRule type="expression" priority="10" dxfId="4" stopIfTrue="0">
      <formula>AND($A5&lt;&gt;"",F5="")</formula>
    </cfRule>
  </conditionalFormatting>
  <conditionalFormatting sqref="I5:I34">
    <cfRule type="expression" priority="11" dxfId="4" stopIfTrue="0">
      <formula>AND($A5&lt;&gt;"",I5="")</formula>
    </cfRule>
  </conditionalFormatting>
  <conditionalFormatting sqref="R5:AO34">
    <cfRule type="expression" priority="12" dxfId="9" stopIfTrue="1">
      <formula>AND(ISNUMBER(R5),$N5="Complete")</formula>
    </cfRule>
    <cfRule type="expression" priority="13" dxfId="10" stopIfTrue="1">
      <formula>AND(ISNUMBER(R5),$N5="In Progress")</formula>
    </cfRule>
    <cfRule type="expression" priority="14" dxfId="11" stopIfTrue="1">
      <formula>AND(ISNUMBER(R5),$N5="Blocked")</formula>
    </cfRule>
    <cfRule type="expression" priority="15" dxfId="12" stopIfTrue="1">
      <formula>ISNUMBER(R5)</formula>
    </cfRule>
  </conditionalFormatting>
  <conditionalFormatting sqref="R4:AO4">
    <cfRule type="expression" priority="16" dxfId="5" stopIfTrue="1">
      <formula>AND(R$4&lt;=TODAY(),R$4+6&gt;=TODAY())</formula>
    </cfRule>
  </conditionalFormatting>
  <dataValidations count="4">
    <dataValidation sqref="B5:B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F5:F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N5:N34" showDropDown="0" showInputMessage="1" showErrorMessage="1" allowBlank="1" errorTitle="Value not allowed" error="Pick a value from the drop-down list (L_TaskStatus)." promptTitle="Select" prompt="Choose a value from the drop-down list." type="list" errorStyle="stop">
      <formula1>L_TaskStatus</formula1>
    </dataValidation>
    <dataValidation sqref="P5:P34" showDropDown="0" showInputMessage="1" showErrorMessage="1" allowBlank="1" errorTitle="Value not allowed" error="Pick a value from the drop-down list (L_YesNo)." promptTitle="Select" prompt="Choose a value from the drop-down list." type="list" errorStyle="stop">
      <formula1>L_YesNo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9" customWidth="1" min="11" max="11"/>
    <col width="28" customWidth="1" min="12" max="12"/>
    <col width="12" customWidth="1" min="13" max="13"/>
    <col width="14" customWidth="1" min="14" max="14"/>
  </cols>
  <sheetData>
    <row r="1" ht="32" customHeight="1">
      <c r="A1" s="1" t="inlineStr">
        <is>
          <t>MILESTONE TRACKER</t>
        </is>
      </c>
    </row>
    <row r="2" ht="17" customHeight="1">
      <c r="A2" s="2" t="inlineStr">
        <is>
          <t>Every milestone with baseline, forecast, days remaining and automatic RAG. Feeds the dashboard 'next milestones', 'upcoming milestones' chart and portfolio next-milestone column.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Milestone ID</t>
        </is>
      </c>
      <c r="B4" s="64" t="inlineStr">
        <is>
          <t>Project</t>
        </is>
      </c>
      <c r="C4" s="64" t="inlineStr">
        <is>
          <t>Milestone</t>
        </is>
      </c>
      <c r="D4" s="64" t="inlineStr">
        <is>
          <t>Owner</t>
        </is>
      </c>
      <c r="E4" s="64" t="inlineStr">
        <is>
          <t>Baseline Date</t>
        </is>
      </c>
      <c r="F4" s="64" t="inlineStr">
        <is>
          <t>Forecast Date</t>
        </is>
      </c>
      <c r="G4" s="64" t="inlineStr">
        <is>
          <t>Actual Date</t>
        </is>
      </c>
      <c r="H4" s="64" t="inlineStr">
        <is>
          <t>Status</t>
        </is>
      </c>
      <c r="I4" s="64" t="inlineStr">
        <is>
          <t>Days Remaining</t>
        </is>
      </c>
      <c r="J4" s="64" t="inlineStr">
        <is>
          <t>Variance</t>
        </is>
      </c>
      <c r="K4" s="64" t="inlineStr">
        <is>
          <t>RAG</t>
        </is>
      </c>
      <c r="L4" s="64" t="inlineStr">
        <is>
          <t>Notes</t>
        </is>
      </c>
      <c r="M4" s="64" t="inlineStr">
        <is>
          <t>Key</t>
        </is>
      </c>
      <c r="N4" s="64" t="inlineStr">
        <is>
          <t>ProjKey</t>
        </is>
      </c>
    </row>
    <row r="5" ht="28" customHeight="1">
      <c r="A5" s="65" t="inlineStr">
        <is>
          <t>M-001</t>
        </is>
      </c>
      <c r="B5" s="65" t="inlineStr">
        <is>
          <t>ERP Implementation</t>
        </is>
      </c>
      <c r="C5" s="65" t="inlineStr">
        <is>
          <t>Charter approved</t>
        </is>
      </c>
      <c r="D5" s="65" t="inlineStr">
        <is>
          <t>Ahmed Khan</t>
        </is>
      </c>
      <c r="E5" s="66" t="n">
        <v>46213</v>
      </c>
      <c r="F5" s="66" t="n">
        <v>46213</v>
      </c>
      <c r="G5" s="66" t="n">
        <v>46213</v>
      </c>
      <c r="H5" s="65" t="inlineStr">
        <is>
          <t>Complete</t>
        </is>
      </c>
      <c r="I5" s="69">
        <f>IF(OR(A5="",H5="Complete"),"",IF(F5="","",F5-TODAY()))</f>
        <v/>
      </c>
      <c r="J5" s="69">
        <f>IF(OR(E5="",F5=""),"",F5-E5)</f>
        <v/>
      </c>
      <c r="K5" s="65">
        <f>IF(A5="","",IF(H5="Complete","Green",IF(F5="","",IF(F5&lt;TODAY(),"Red",IF(F5-TODAY()&lt;=7,"Yellow","Green")))))</f>
        <v/>
      </c>
      <c r="L5" s="70" t="inlineStr">
        <is>
          <t>SAMPLE</t>
        </is>
      </c>
      <c r="M5" s="65">
        <f>IF(OR(A5="",F5="",H5="Complete"),"",IF(F5&gt;=TODAY(),F5+ROW()/100000,""))</f>
        <v/>
      </c>
      <c r="N5" s="65">
        <f>IF(M5="","",B5&amp;"|"&amp;(COUNTIFS(B$5:B$34,B5,M$5:M$34,"&lt;"&amp;M5)+1))</f>
        <v/>
      </c>
    </row>
    <row r="6" ht="28" customHeight="1">
      <c r="A6" s="65" t="inlineStr">
        <is>
          <t>M-002</t>
        </is>
      </c>
      <c r="B6" s="65" t="inlineStr">
        <is>
          <t>ERP Implementation</t>
        </is>
      </c>
      <c r="C6" s="65" t="inlineStr">
        <is>
          <t>Requirements sign-off</t>
        </is>
      </c>
      <c r="D6" s="65" t="inlineStr">
        <is>
          <t>Priya Raman</t>
        </is>
      </c>
      <c r="E6" s="66" t="n">
        <v>46241</v>
      </c>
      <c r="F6" s="66" t="n">
        <v>46241</v>
      </c>
      <c r="G6" s="66" t="n">
        <v>46241</v>
      </c>
      <c r="H6" s="65" t="inlineStr">
        <is>
          <t>Complete</t>
        </is>
      </c>
      <c r="I6" s="69">
        <f>IF(OR(A6="",H6="Complete"),"",IF(F6="","",F6-TODAY()))</f>
        <v/>
      </c>
      <c r="J6" s="69">
        <f>IF(OR(E6="",F6=""),"",F6-E6)</f>
        <v/>
      </c>
      <c r="K6" s="65">
        <f>IF(A6="","",IF(H6="Complete","Green",IF(F6="","",IF(F6&lt;TODAY(),"Red",IF(F6-TODAY()&lt;=7,"Yellow","Green")))))</f>
        <v/>
      </c>
      <c r="L6" s="70" t="inlineStr">
        <is>
          <t>SAMPLE</t>
        </is>
      </c>
      <c r="M6" s="65">
        <f>IF(OR(A6="",F6="",H6="Complete"),"",IF(F6&gt;=TODAY(),F6+ROW()/100000,""))</f>
        <v/>
      </c>
      <c r="N6" s="65">
        <f>IF(M6="","",B6&amp;"|"&amp;(COUNTIFS(B$5:B$34,B6,M$5:M$34,"&lt;"&amp;M6)+1))</f>
        <v/>
      </c>
    </row>
    <row r="7" ht="28" customHeight="1">
      <c r="A7" s="65" t="inlineStr">
        <is>
          <t>M-003</t>
        </is>
      </c>
      <c r="B7" s="65" t="inlineStr">
        <is>
          <t>ERP Implementation</t>
        </is>
      </c>
      <c r="C7" s="65" t="inlineStr">
        <is>
          <t>Design sign-off</t>
        </is>
      </c>
      <c r="D7" s="65" t="inlineStr">
        <is>
          <t>Tom Becker</t>
        </is>
      </c>
      <c r="E7" s="66" t="n">
        <v>46262</v>
      </c>
      <c r="F7" s="66" t="n">
        <v>46262</v>
      </c>
      <c r="G7" s="66" t="n">
        <v>46265</v>
      </c>
      <c r="H7" s="65" t="inlineStr">
        <is>
          <t>Complete</t>
        </is>
      </c>
      <c r="I7" s="69">
        <f>IF(OR(A7="",H7="Complete"),"",IF(F7="","",F7-TODAY()))</f>
        <v/>
      </c>
      <c r="J7" s="69">
        <f>IF(OR(E7="",F7=""),"",F7-E7)</f>
        <v/>
      </c>
      <c r="K7" s="65">
        <f>IF(A7="","",IF(H7="Complete","Green",IF(F7="","",IF(F7&lt;TODAY(),"Red",IF(F7-TODAY()&lt;=7,"Yellow","Green")))))</f>
        <v/>
      </c>
      <c r="L7" s="70" t="inlineStr">
        <is>
          <t>SAMPLE</t>
        </is>
      </c>
      <c r="M7" s="65">
        <f>IF(OR(A7="",F7="",H7="Complete"),"",IF(F7&gt;=TODAY(),F7+ROW()/100000,""))</f>
        <v/>
      </c>
      <c r="N7" s="65">
        <f>IF(M7="","",B7&amp;"|"&amp;(COUNTIFS(B$5:B$34,B7,M$5:M$34,"&lt;"&amp;M7)+1))</f>
        <v/>
      </c>
    </row>
    <row r="8" ht="28" customHeight="1">
      <c r="A8" s="65" t="inlineStr">
        <is>
          <t>M-004</t>
        </is>
      </c>
      <c r="B8" s="65" t="inlineStr">
        <is>
          <t>ERP Implementation</t>
        </is>
      </c>
      <c r="C8" s="65" t="inlineStr">
        <is>
          <t>Core configuration complete</t>
        </is>
      </c>
      <c r="D8" s="65" t="inlineStr">
        <is>
          <t>Ahmed Khan</t>
        </is>
      </c>
      <c r="E8" s="66" t="n">
        <v>46297</v>
      </c>
      <c r="F8" s="66" t="n">
        <v>46304</v>
      </c>
      <c r="G8" s="66" t="n"/>
      <c r="H8" s="65" t="inlineStr">
        <is>
          <t>In Progress</t>
        </is>
      </c>
      <c r="I8" s="69">
        <f>IF(OR(A8="",H8="Complete"),"",IF(F8="","",F8-TODAY()))</f>
        <v/>
      </c>
      <c r="J8" s="69">
        <f>IF(OR(E8="",F8=""),"",F8-E8)</f>
        <v/>
      </c>
      <c r="K8" s="65">
        <f>IF(A8="","",IF(H8="Complete","Green",IF(F8="","",IF(F8&lt;TODAY(),"Red",IF(F8-TODAY()&lt;=7,"Yellow","Green")))))</f>
        <v/>
      </c>
      <c r="L8" s="70" t="inlineStr">
        <is>
          <t>SAMPLE - due in days</t>
        </is>
      </c>
      <c r="M8" s="65">
        <f>IF(OR(A8="",F8="",H8="Complete"),"",IF(F8&gt;=TODAY(),F8+ROW()/100000,""))</f>
        <v/>
      </c>
      <c r="N8" s="65">
        <f>IF(M8="","",B8&amp;"|"&amp;(COUNTIFS(B$5:B$34,B8,M$5:M$34,"&lt;"&amp;M8)+1))</f>
        <v/>
      </c>
    </row>
    <row r="9" ht="28" customHeight="1">
      <c r="A9" s="65" t="inlineStr">
        <is>
          <t>M-005</t>
        </is>
      </c>
      <c r="B9" s="65" t="inlineStr">
        <is>
          <t>ERP Implementation</t>
        </is>
      </c>
      <c r="C9" s="65" t="inlineStr">
        <is>
          <t>Data migration complete</t>
        </is>
      </c>
      <c r="D9" s="65" t="inlineStr">
        <is>
          <t>David Okoro</t>
        </is>
      </c>
      <c r="E9" s="66" t="n">
        <v>46318</v>
      </c>
      <c r="F9" s="66" t="n">
        <v>46325</v>
      </c>
      <c r="G9" s="66" t="n"/>
      <c r="H9" s="65" t="inlineStr">
        <is>
          <t>In Progress</t>
        </is>
      </c>
      <c r="I9" s="69">
        <f>IF(OR(A9="",H9="Complete"),"",IF(F9="","",F9-TODAY()))</f>
        <v/>
      </c>
      <c r="J9" s="69">
        <f>IF(OR(E9="",F9=""),"",F9-E9)</f>
        <v/>
      </c>
      <c r="K9" s="65">
        <f>IF(A9="","",IF(H9="Complete","Green",IF(F9="","",IF(F9&lt;TODAY(),"Red",IF(F9-TODAY()&lt;=7,"Yellow","Green")))))</f>
        <v/>
      </c>
      <c r="L9" s="70" t="inlineStr">
        <is>
          <t>SAMPLE</t>
        </is>
      </c>
      <c r="M9" s="65">
        <f>IF(OR(A9="",F9="",H9="Complete"),"",IF(F9&gt;=TODAY(),F9+ROW()/100000,""))</f>
        <v/>
      </c>
      <c r="N9" s="65">
        <f>IF(M9="","",B9&amp;"|"&amp;(COUNTIFS(B$5:B$34,B9,M$5:M$34,"&lt;"&amp;M9)+1))</f>
        <v/>
      </c>
    </row>
    <row r="10" ht="28" customHeight="1">
      <c r="A10" s="65" t="inlineStr">
        <is>
          <t>M-006</t>
        </is>
      </c>
      <c r="B10" s="65" t="inlineStr">
        <is>
          <t>ERP Implementation</t>
        </is>
      </c>
      <c r="C10" s="65" t="inlineStr">
        <is>
          <t>System integration testing complete</t>
        </is>
      </c>
      <c r="D10" s="65" t="inlineStr">
        <is>
          <t>Grace Alemu</t>
        </is>
      </c>
      <c r="E10" s="66" t="n">
        <v>46339</v>
      </c>
      <c r="F10" s="66" t="n">
        <v>46346</v>
      </c>
      <c r="G10" s="66" t="n"/>
      <c r="H10" s="65" t="inlineStr">
        <is>
          <t>Not Started</t>
        </is>
      </c>
      <c r="I10" s="69">
        <f>IF(OR(A10="",H10="Complete"),"",IF(F10="","",F10-TODAY()))</f>
        <v/>
      </c>
      <c r="J10" s="69">
        <f>IF(OR(E10="",F10=""),"",F10-E10)</f>
        <v/>
      </c>
      <c r="K10" s="65">
        <f>IF(A10="","",IF(H10="Complete","Green",IF(F10="","",IF(F10&lt;TODAY(),"Red",IF(F10-TODAY()&lt;=7,"Yellow","Green")))))</f>
        <v/>
      </c>
      <c r="L10" s="70" t="inlineStr">
        <is>
          <t>SAMPLE</t>
        </is>
      </c>
      <c r="M10" s="65">
        <f>IF(OR(A10="",F10="",H10="Complete"),"",IF(F10&gt;=TODAY(),F10+ROW()/100000,""))</f>
        <v/>
      </c>
      <c r="N10" s="65">
        <f>IF(M10="","",B10&amp;"|"&amp;(COUNTIFS(B$5:B$34,B10,M$5:M$34,"&lt;"&amp;M10)+1))</f>
        <v/>
      </c>
    </row>
    <row r="11" ht="28" customHeight="1">
      <c r="A11" s="65" t="inlineStr">
        <is>
          <t>M-007</t>
        </is>
      </c>
      <c r="B11" s="65" t="inlineStr">
        <is>
          <t>ERP Implementation</t>
        </is>
      </c>
      <c r="C11" s="65" t="inlineStr">
        <is>
          <t>UAT sign-off</t>
        </is>
      </c>
      <c r="D11" s="65" t="inlineStr">
        <is>
          <t>Maria Silva</t>
        </is>
      </c>
      <c r="E11" s="66" t="n">
        <v>46353</v>
      </c>
      <c r="F11" s="66" t="n">
        <v>46360</v>
      </c>
      <c r="G11" s="66" t="n"/>
      <c r="H11" s="65" t="inlineStr">
        <is>
          <t>Not Started</t>
        </is>
      </c>
      <c r="I11" s="69">
        <f>IF(OR(A11="",H11="Complete"),"",IF(F11="","",F11-TODAY()))</f>
        <v/>
      </c>
      <c r="J11" s="69">
        <f>IF(OR(E11="",F11=""),"",F11-E11)</f>
        <v/>
      </c>
      <c r="K11" s="65">
        <f>IF(A11="","",IF(H11="Complete","Green",IF(F11="","",IF(F11&lt;TODAY(),"Red",IF(F11-TODAY()&lt;=7,"Yellow","Green")))))</f>
        <v/>
      </c>
      <c r="L11" s="70" t="inlineStr">
        <is>
          <t>SAMPLE</t>
        </is>
      </c>
      <c r="M11" s="65">
        <f>IF(OR(A11="",F11="",H11="Complete"),"",IF(F11&gt;=TODAY(),F11+ROW()/100000,""))</f>
        <v/>
      </c>
      <c r="N11" s="65">
        <f>IF(M11="","",B11&amp;"|"&amp;(COUNTIFS(B$5:B$34,B11,M$5:M$34,"&lt;"&amp;M11)+1))</f>
        <v/>
      </c>
    </row>
    <row r="12" ht="28" customHeight="1">
      <c r="A12" s="65" t="inlineStr">
        <is>
          <t>M-008</t>
        </is>
      </c>
      <c r="B12" s="65" t="inlineStr">
        <is>
          <t>ERP Implementation</t>
        </is>
      </c>
      <c r="C12" s="65" t="inlineStr">
        <is>
          <t>Production go-live</t>
        </is>
      </c>
      <c r="D12" s="65" t="inlineStr">
        <is>
          <t>Ahmed Khan</t>
        </is>
      </c>
      <c r="E12" s="66" t="n">
        <v>46374</v>
      </c>
      <c r="F12" s="66" t="n">
        <v>46402</v>
      </c>
      <c r="G12" s="66" t="n"/>
      <c r="H12" s="65" t="inlineStr">
        <is>
          <t>Not Started</t>
        </is>
      </c>
      <c r="I12" s="69">
        <f>IF(OR(A12="",H12="Complete"),"",IF(F12="","",F12-TODAY()))</f>
        <v/>
      </c>
      <c r="J12" s="69">
        <f>IF(OR(E12="",F12=""),"",F12-E12)</f>
        <v/>
      </c>
      <c r="K12" s="65">
        <f>IF(A12="","",IF(H12="Complete","Green",IF(F12="","",IF(F12&lt;TODAY(),"Red",IF(F12-TODAY()&lt;=7,"Yellow","Green")))))</f>
        <v/>
      </c>
      <c r="L12" s="70" t="inlineStr">
        <is>
          <t>SAMPLE</t>
        </is>
      </c>
      <c r="M12" s="65">
        <f>IF(OR(A12="",F12="",H12="Complete"),"",IF(F12&gt;=TODAY(),F12+ROW()/100000,""))</f>
        <v/>
      </c>
      <c r="N12" s="65">
        <f>IF(M12="","",B12&amp;"|"&amp;(COUNTIFS(B$5:B$34,B12,M$5:M$34,"&lt;"&amp;M12)+1))</f>
        <v/>
      </c>
    </row>
    <row r="13" ht="28" customHeight="1">
      <c r="A13" s="65" t="inlineStr">
        <is>
          <t>M-009</t>
        </is>
      </c>
      <c r="B13" s="65" t="inlineStr">
        <is>
          <t>Network Infrastructure Upgrade</t>
        </is>
      </c>
      <c r="C13" s="65" t="inlineStr">
        <is>
          <t>Switch installation complete</t>
        </is>
      </c>
      <c r="D13" s="65" t="inlineStr">
        <is>
          <t>Tom Becker</t>
        </is>
      </c>
      <c r="E13" s="66" t="n">
        <v>46311</v>
      </c>
      <c r="F13" s="66" t="n">
        <v>46311</v>
      </c>
      <c r="G13" s="66" t="n"/>
      <c r="H13" s="65" t="inlineStr">
        <is>
          <t>In Progress</t>
        </is>
      </c>
      <c r="I13" s="69">
        <f>IF(OR(A13="",H13="Complete"),"",IF(F13="","",F13-TODAY()))</f>
        <v/>
      </c>
      <c r="J13" s="69">
        <f>IF(OR(E13="",F13=""),"",F13-E13)</f>
        <v/>
      </c>
      <c r="K13" s="65">
        <f>IF(A13="","",IF(H13="Complete","Green",IF(F13="","",IF(F13&lt;TODAY(),"Red",IF(F13-TODAY()&lt;=7,"Yellow","Green")))))</f>
        <v/>
      </c>
      <c r="L13" s="70" t="inlineStr">
        <is>
          <t>SAMPLE</t>
        </is>
      </c>
      <c r="M13" s="65">
        <f>IF(OR(A13="",F13="",H13="Complete"),"",IF(F13&gt;=TODAY(),F13+ROW()/100000,""))</f>
        <v/>
      </c>
      <c r="N13" s="65">
        <f>IF(M13="","",B13&amp;"|"&amp;(COUNTIFS(B$5:B$34,B13,M$5:M$34,"&lt;"&amp;M13)+1))</f>
        <v/>
      </c>
    </row>
    <row r="14" ht="28" customHeight="1">
      <c r="A14" s="65" t="inlineStr">
        <is>
          <t>M-010</t>
        </is>
      </c>
      <c r="B14" s="65" t="inlineStr">
        <is>
          <t>Network Infrastructure Upgrade</t>
        </is>
      </c>
      <c r="C14" s="65" t="inlineStr">
        <is>
          <t>Network go-live</t>
        </is>
      </c>
      <c r="D14" s="65" t="inlineStr">
        <is>
          <t>Lisa Chen</t>
        </is>
      </c>
      <c r="E14" s="66" t="n">
        <v>46351</v>
      </c>
      <c r="F14" s="66" t="n">
        <v>46351</v>
      </c>
      <c r="G14" s="66" t="n"/>
      <c r="H14" s="65" t="inlineStr">
        <is>
          <t>Not Started</t>
        </is>
      </c>
      <c r="I14" s="69">
        <f>IF(OR(A14="",H14="Complete"),"",IF(F14="","",F14-TODAY()))</f>
        <v/>
      </c>
      <c r="J14" s="69">
        <f>IF(OR(E14="",F14=""),"",F14-E14)</f>
        <v/>
      </c>
      <c r="K14" s="65">
        <f>IF(A14="","",IF(H14="Complete","Green",IF(F14="","",IF(F14&lt;TODAY(),"Red",IF(F14-TODAY()&lt;=7,"Yellow","Green")))))</f>
        <v/>
      </c>
      <c r="L14" s="70" t="inlineStr">
        <is>
          <t>SAMPLE</t>
        </is>
      </c>
      <c r="M14" s="65">
        <f>IF(OR(A14="",F14="",H14="Complete"),"",IF(F14&gt;=TODAY(),F14+ROW()/100000,""))</f>
        <v/>
      </c>
      <c r="N14" s="65">
        <f>IF(M14="","",B14&amp;"|"&amp;(COUNTIFS(B$5:B$34,B14,M$5:M$34,"&lt;"&amp;M14)+1))</f>
        <v/>
      </c>
    </row>
    <row r="15" ht="28" customHeight="1">
      <c r="A15" s="65" t="inlineStr">
        <is>
          <t>M-011</t>
        </is>
      </c>
      <c r="B15" s="65" t="inlineStr">
        <is>
          <t>Network Infrastructure Upgrade</t>
        </is>
      </c>
      <c r="C15" s="65" t="inlineStr">
        <is>
          <t>Cabling inspection sign-off</t>
        </is>
      </c>
      <c r="D15" s="65" t="inlineStr">
        <is>
          <t>Lisa Chen</t>
        </is>
      </c>
      <c r="E15" s="66" t="n">
        <v>46307</v>
      </c>
      <c r="F15" s="66" t="n">
        <v>46307</v>
      </c>
      <c r="G15" s="66" t="n"/>
      <c r="H15" s="65" t="inlineStr">
        <is>
          <t>In Progress</t>
        </is>
      </c>
      <c r="I15" s="69">
        <f>IF(OR(A15="",H15="Complete"),"",IF(F15="","",F15-TODAY()))</f>
        <v/>
      </c>
      <c r="J15" s="69">
        <f>IF(OR(E15="",F15=""),"",F15-E15)</f>
        <v/>
      </c>
      <c r="K15" s="65">
        <f>IF(A15="","",IF(H15="Complete","Green",IF(F15="","",IF(F15&lt;TODAY(),"Red",IF(F15-TODAY()&lt;=7,"Yellow","Green")))))</f>
        <v/>
      </c>
      <c r="L15" s="70" t="inlineStr">
        <is>
          <t>SAMPLE</t>
        </is>
      </c>
      <c r="M15" s="65">
        <f>IF(OR(A15="",F15="",H15="Complete"),"",IF(F15&gt;=TODAY(),F15+ROW()/100000,""))</f>
        <v/>
      </c>
      <c r="N15" s="65">
        <f>IF(M15="","",B15&amp;"|"&amp;(COUNTIFS(B$5:B$34,B15,M$5:M$34,"&lt;"&amp;M15)+1))</f>
        <v/>
      </c>
    </row>
    <row r="16" ht="28" customHeight="1">
      <c r="A16" s="65" t="inlineStr">
        <is>
          <t>M-012</t>
        </is>
      </c>
      <c r="B16" s="65" t="inlineStr">
        <is>
          <t>HR Management System</t>
        </is>
      </c>
      <c r="C16" s="65" t="inlineStr">
        <is>
          <t>Vendor shortlist agreed</t>
        </is>
      </c>
      <c r="D16" s="65" t="inlineStr">
        <is>
          <t>David Okoro</t>
        </is>
      </c>
      <c r="E16" s="66" t="n">
        <v>46300</v>
      </c>
      <c r="F16" s="66" t="n">
        <v>46300</v>
      </c>
      <c r="G16" s="66" t="n"/>
      <c r="H16" s="65" t="inlineStr">
        <is>
          <t>Delayed</t>
        </is>
      </c>
      <c r="I16" s="69">
        <f>IF(OR(A16="",H16="Complete"),"",IF(F16="","",F16-TODAY()))</f>
        <v/>
      </c>
      <c r="J16" s="69">
        <f>IF(OR(E16="",F16=""),"",F16-E16)</f>
        <v/>
      </c>
      <c r="K16" s="65">
        <f>IF(A16="","",IF(H16="Complete","Green",IF(F16="","",IF(F16&lt;TODAY(),"Red",IF(F16-TODAY()&lt;=7,"Yellow","Green")))))</f>
        <v/>
      </c>
      <c r="L16" s="70" t="inlineStr">
        <is>
          <t>SAMPLE - overdue</t>
        </is>
      </c>
      <c r="M16" s="65">
        <f>IF(OR(A16="",F16="",H16="Complete"),"",IF(F16&gt;=TODAY(),F16+ROW()/100000,""))</f>
        <v/>
      </c>
      <c r="N16" s="65">
        <f>IF(M16="","",B16&amp;"|"&amp;(COUNTIFS(B$5:B$34,B16,M$5:M$34,"&lt;"&amp;M16)+1))</f>
        <v/>
      </c>
    </row>
    <row r="17" ht="28" customHeight="1">
      <c r="A17" s="65" t="inlineStr">
        <is>
          <t>M-013</t>
        </is>
      </c>
      <c r="B17" s="65" t="inlineStr">
        <is>
          <t>HR Management System</t>
        </is>
      </c>
      <c r="C17" s="65" t="inlineStr">
        <is>
          <t>Contract signed</t>
        </is>
      </c>
      <c r="D17" s="65" t="inlineStr">
        <is>
          <t>David Okoro</t>
        </is>
      </c>
      <c r="E17" s="66" t="n">
        <v>46332</v>
      </c>
      <c r="F17" s="66" t="n">
        <v>46346</v>
      </c>
      <c r="G17" s="66" t="n"/>
      <c r="H17" s="65" t="inlineStr">
        <is>
          <t>Not Started</t>
        </is>
      </c>
      <c r="I17" s="69">
        <f>IF(OR(A17="",H17="Complete"),"",IF(F17="","",F17-TODAY()))</f>
        <v/>
      </c>
      <c r="J17" s="69">
        <f>IF(OR(E17="",F17=""),"",F17-E17)</f>
        <v/>
      </c>
      <c r="K17" s="65">
        <f>IF(A17="","",IF(H17="Complete","Green",IF(F17="","",IF(F17&lt;TODAY(),"Red",IF(F17-TODAY()&lt;=7,"Yellow","Green")))))</f>
        <v/>
      </c>
      <c r="L17" s="70" t="inlineStr">
        <is>
          <t>SAMPLE</t>
        </is>
      </c>
      <c r="M17" s="65">
        <f>IF(OR(A17="",F17="",H17="Complete"),"",IF(F17&gt;=TODAY(),F17+ROW()/100000,""))</f>
        <v/>
      </c>
      <c r="N17" s="65">
        <f>IF(M17="","",B17&amp;"|"&amp;(COUNTIFS(B$5:B$34,B17,M$5:M$34,"&lt;"&amp;M17)+1))</f>
        <v/>
      </c>
    </row>
    <row r="18" ht="28" customHeight="1">
      <c r="A18" s="65" t="inlineStr">
        <is>
          <t>M-014</t>
        </is>
      </c>
      <c r="B18" s="65" t="inlineStr">
        <is>
          <t>Website Development</t>
        </is>
      </c>
      <c r="C18" s="65" t="inlineStr">
        <is>
          <t>Design approval</t>
        </is>
      </c>
      <c r="D18" s="65" t="inlineStr">
        <is>
          <t>Maria Silva</t>
        </is>
      </c>
      <c r="E18" s="66" t="n">
        <v>46309</v>
      </c>
      <c r="F18" s="66" t="n">
        <v>46316</v>
      </c>
      <c r="G18" s="66" t="n"/>
      <c r="H18" s="65" t="inlineStr">
        <is>
          <t>In Progress</t>
        </is>
      </c>
      <c r="I18" s="69">
        <f>IF(OR(A18="",H18="Complete"),"",IF(F18="","",F18-TODAY()))</f>
        <v/>
      </c>
      <c r="J18" s="69">
        <f>IF(OR(E18="",F18=""),"",F18-E18)</f>
        <v/>
      </c>
      <c r="K18" s="65">
        <f>IF(A18="","",IF(H18="Complete","Green",IF(F18="","",IF(F18&lt;TODAY(),"Red",IF(F18-TODAY()&lt;=7,"Yellow","Green")))))</f>
        <v/>
      </c>
      <c r="L18" s="70" t="inlineStr">
        <is>
          <t>SAMPLE</t>
        </is>
      </c>
      <c r="M18" s="65">
        <f>IF(OR(A18="",F18="",H18="Complete"),"",IF(F18&gt;=TODAY(),F18+ROW()/100000,""))</f>
        <v/>
      </c>
      <c r="N18" s="65">
        <f>IF(M18="","",B18&amp;"|"&amp;(COUNTIFS(B$5:B$34,B18,M$5:M$34,"&lt;"&amp;M18)+1))</f>
        <v/>
      </c>
    </row>
    <row r="19" ht="28" customHeight="1">
      <c r="A19" s="65" t="inlineStr">
        <is>
          <t>M-015</t>
        </is>
      </c>
      <c r="B19" s="65" t="inlineStr">
        <is>
          <t>Website Development</t>
        </is>
      </c>
      <c r="C19" s="65" t="inlineStr">
        <is>
          <t>Content ready for load</t>
        </is>
      </c>
      <c r="D19" s="65" t="inlineStr">
        <is>
          <t>Maria Silva</t>
        </is>
      </c>
      <c r="E19" s="66" t="n">
        <v>46314</v>
      </c>
      <c r="F19" s="66" t="n">
        <v>46314</v>
      </c>
      <c r="G19" s="66" t="n"/>
      <c r="H19" s="65" t="inlineStr">
        <is>
          <t>In Progress</t>
        </is>
      </c>
      <c r="I19" s="69">
        <f>IF(OR(A19="",H19="Complete"),"",IF(F19="","",F19-TODAY()))</f>
        <v/>
      </c>
      <c r="J19" s="69">
        <f>IF(OR(E19="",F19=""),"",F19-E19)</f>
        <v/>
      </c>
      <c r="K19" s="65">
        <f>IF(A19="","",IF(H19="Complete","Green",IF(F19="","",IF(F19&lt;TODAY(),"Red",IF(F19-TODAY()&lt;=7,"Yellow","Green")))))</f>
        <v/>
      </c>
      <c r="L19" s="70" t="inlineStr">
        <is>
          <t>SAMPLE</t>
        </is>
      </c>
      <c r="M19" s="65">
        <f>IF(OR(A19="",F19="",H19="Complete"),"",IF(F19&gt;=TODAY(),F19+ROW()/100000,""))</f>
        <v/>
      </c>
      <c r="N19" s="65">
        <f>IF(M19="","",B19&amp;"|"&amp;(COUNTIFS(B$5:B$34,B19,M$5:M$34,"&lt;"&amp;M19)+1))</f>
        <v/>
      </c>
    </row>
    <row r="20" ht="28" customHeight="1">
      <c r="A20" s="65" t="inlineStr">
        <is>
          <t>M-016</t>
        </is>
      </c>
      <c r="B20" s="65" t="inlineStr">
        <is>
          <t>Office Security Upgrade</t>
        </is>
      </c>
      <c r="C20" s="65" t="inlineStr">
        <is>
          <t>Security assessment sign-off</t>
        </is>
      </c>
      <c r="D20" s="65" t="inlineStr">
        <is>
          <t>Tom Becker</t>
        </is>
      </c>
      <c r="E20" s="66" t="n">
        <v>46300</v>
      </c>
      <c r="F20" s="66" t="n">
        <v>46309</v>
      </c>
      <c r="G20" s="66" t="n"/>
      <c r="H20" s="65" t="inlineStr">
        <is>
          <t>In Progress</t>
        </is>
      </c>
      <c r="I20" s="69">
        <f>IF(OR(A20="",H20="Complete"),"",IF(F20="","",F20-TODAY()))</f>
        <v/>
      </c>
      <c r="J20" s="69">
        <f>IF(OR(E20="",F20=""),"",F20-E20)</f>
        <v/>
      </c>
      <c r="K20" s="65">
        <f>IF(A20="","",IF(H20="Complete","Green",IF(F20="","",IF(F20&lt;TODAY(),"Red",IF(F20-TODAY()&lt;=7,"Yellow","Green")))))</f>
        <v/>
      </c>
      <c r="L20" s="70" t="inlineStr">
        <is>
          <t>SAMPLE</t>
        </is>
      </c>
      <c r="M20" s="65">
        <f>IF(OR(A20="",F20="",H20="Complete"),"",IF(F20&gt;=TODAY(),F20+ROW()/100000,""))</f>
        <v/>
      </c>
      <c r="N20" s="65">
        <f>IF(M20="","",B20&amp;"|"&amp;(COUNTIFS(B$5:B$34,B20,M$5:M$34,"&lt;"&amp;M20)+1))</f>
        <v/>
      </c>
    </row>
    <row r="21" ht="28" customHeight="1">
      <c r="A21" s="65" t="inlineStr">
        <is>
          <t>M-017</t>
        </is>
      </c>
      <c r="B21" s="65" t="inlineStr">
        <is>
          <t>Payroll Reporting Portal</t>
        </is>
      </c>
      <c r="C21" s="65" t="inlineStr">
        <is>
          <t>Project closure approved</t>
        </is>
      </c>
      <c r="D21" s="65" t="inlineStr">
        <is>
          <t>Priya Raman</t>
        </is>
      </c>
      <c r="E21" s="66" t="n">
        <v>46295</v>
      </c>
      <c r="F21" s="66" t="n">
        <v>46295</v>
      </c>
      <c r="G21" s="66" t="n">
        <v>46293</v>
      </c>
      <c r="H21" s="65" t="inlineStr">
        <is>
          <t>Complete</t>
        </is>
      </c>
      <c r="I21" s="69">
        <f>IF(OR(A21="",H21="Complete"),"",IF(F21="","",F21-TODAY()))</f>
        <v/>
      </c>
      <c r="J21" s="69">
        <f>IF(OR(E21="",F21=""),"",F21-E21)</f>
        <v/>
      </c>
      <c r="K21" s="65">
        <f>IF(A21="","",IF(H21="Complete","Green",IF(F21="","",IF(F21&lt;TODAY(),"Red",IF(F21-TODAY()&lt;=7,"Yellow","Green")))))</f>
        <v/>
      </c>
      <c r="L21" s="70" t="inlineStr">
        <is>
          <t>SAMPLE</t>
        </is>
      </c>
      <c r="M21" s="65">
        <f>IF(OR(A21="",F21="",H21="Complete"),"",IF(F21&gt;=TODAY(),F21+ROW()/100000,""))</f>
        <v/>
      </c>
      <c r="N21" s="65">
        <f>IF(M21="","",B21&amp;"|"&amp;(COUNTIFS(B$5:B$34,B21,M$5:M$34,"&lt;"&amp;M21)+1))</f>
        <v/>
      </c>
    </row>
    <row r="22" ht="28" customHeight="1">
      <c r="A22" s="65" t="inlineStr">
        <is>
          <t>M-018</t>
        </is>
      </c>
      <c r="B22" s="65" t="inlineStr">
        <is>
          <t>Network Infrastructure Upgrade</t>
        </is>
      </c>
      <c r="C22" s="65" t="inlineStr">
        <is>
          <t>User acceptance complete</t>
        </is>
      </c>
      <c r="D22" s="65" t="inlineStr">
        <is>
          <t>Grace Alemu</t>
        </is>
      </c>
      <c r="E22" s="66" t="n">
        <v>46328</v>
      </c>
      <c r="F22" s="66" t="n">
        <v>46328</v>
      </c>
      <c r="G22" s="66" t="n"/>
      <c r="H22" s="65" t="inlineStr">
        <is>
          <t>Not Started</t>
        </is>
      </c>
      <c r="I22" s="69">
        <f>IF(OR(A22="",H22="Complete"),"",IF(F22="","",F22-TODAY()))</f>
        <v/>
      </c>
      <c r="J22" s="69">
        <f>IF(OR(E22="",F22=""),"",F22-E22)</f>
        <v/>
      </c>
      <c r="K22" s="65">
        <f>IF(A22="","",IF(H22="Complete","Green",IF(F22="","",IF(F22&lt;TODAY(),"Red",IF(F22-TODAY()&lt;=7,"Yellow","Green")))))</f>
        <v/>
      </c>
      <c r="L22" s="70" t="inlineStr">
        <is>
          <t>SAMPLE</t>
        </is>
      </c>
      <c r="M22" s="65">
        <f>IF(OR(A22="",F22="",H22="Complete"),"",IF(F22&gt;=TODAY(),F22+ROW()/100000,""))</f>
        <v/>
      </c>
      <c r="N22" s="65">
        <f>IF(M22="","",B22&amp;"|"&amp;(COUNTIFS(B$5:B$34,B22,M$5:M$34,"&lt;"&amp;M22)+1))</f>
        <v/>
      </c>
    </row>
    <row r="23" ht="28" customHeight="1">
      <c r="A23" s="65" t="n"/>
      <c r="B23" s="65" t="n"/>
      <c r="C23" s="65" t="n"/>
      <c r="D23" s="65" t="n"/>
      <c r="E23" s="66" t="n"/>
      <c r="F23" s="66" t="n"/>
      <c r="G23" s="66" t="n"/>
      <c r="H23" s="65" t="n"/>
      <c r="I23" s="69">
        <f>IF(OR(A23="",H23="Complete"),"",IF(F23="","",F23-TODAY()))</f>
        <v/>
      </c>
      <c r="J23" s="69">
        <f>IF(OR(E23="",F23=""),"",F23-E23)</f>
        <v/>
      </c>
      <c r="K23" s="65">
        <f>IF(A23="","",IF(H23="Complete","Green",IF(F23="","",IF(F23&lt;TODAY(),"Red",IF(F23-TODAY()&lt;=7,"Yellow","Green")))))</f>
        <v/>
      </c>
      <c r="L23" s="70" t="n"/>
      <c r="M23" s="65">
        <f>IF(OR(A23="",F23="",H23="Complete"),"",IF(F23&gt;=TODAY(),F23+ROW()/100000,""))</f>
        <v/>
      </c>
      <c r="N23" s="65">
        <f>IF(M23="","",B23&amp;"|"&amp;(COUNTIFS(B$5:B$34,B23,M$5:M$34,"&lt;"&amp;M23)+1))</f>
        <v/>
      </c>
    </row>
    <row r="24" ht="28" customHeight="1">
      <c r="A24" s="65" t="n"/>
      <c r="B24" s="65" t="n"/>
      <c r="C24" s="65" t="n"/>
      <c r="D24" s="65" t="n"/>
      <c r="E24" s="66" t="n"/>
      <c r="F24" s="66" t="n"/>
      <c r="G24" s="66" t="n"/>
      <c r="H24" s="65" t="n"/>
      <c r="I24" s="69">
        <f>IF(OR(A24="",H24="Complete"),"",IF(F24="","",F24-TODAY()))</f>
        <v/>
      </c>
      <c r="J24" s="69">
        <f>IF(OR(E24="",F24=""),"",F24-E24)</f>
        <v/>
      </c>
      <c r="K24" s="65">
        <f>IF(A24="","",IF(H24="Complete","Green",IF(F24="","",IF(F24&lt;TODAY(),"Red",IF(F24-TODAY()&lt;=7,"Yellow","Green")))))</f>
        <v/>
      </c>
      <c r="L24" s="70" t="n"/>
      <c r="M24" s="65">
        <f>IF(OR(A24="",F24="",H24="Complete"),"",IF(F24&gt;=TODAY(),F24+ROW()/100000,""))</f>
        <v/>
      </c>
      <c r="N24" s="65">
        <f>IF(M24="","",B24&amp;"|"&amp;(COUNTIFS(B$5:B$34,B24,M$5:M$34,"&lt;"&amp;M24)+1))</f>
        <v/>
      </c>
    </row>
    <row r="25" ht="28" customHeight="1">
      <c r="A25" s="65" t="n"/>
      <c r="B25" s="65" t="n"/>
      <c r="C25" s="65" t="n"/>
      <c r="D25" s="65" t="n"/>
      <c r="E25" s="66" t="n"/>
      <c r="F25" s="66" t="n"/>
      <c r="G25" s="66" t="n"/>
      <c r="H25" s="65" t="n"/>
      <c r="I25" s="69">
        <f>IF(OR(A25="",H25="Complete"),"",IF(F25="","",F25-TODAY()))</f>
        <v/>
      </c>
      <c r="J25" s="69">
        <f>IF(OR(E25="",F25=""),"",F25-E25)</f>
        <v/>
      </c>
      <c r="K25" s="65">
        <f>IF(A25="","",IF(H25="Complete","Green",IF(F25="","",IF(F25&lt;TODAY(),"Red",IF(F25-TODAY()&lt;=7,"Yellow","Green")))))</f>
        <v/>
      </c>
      <c r="L25" s="70" t="n"/>
      <c r="M25" s="65">
        <f>IF(OR(A25="",F25="",H25="Complete"),"",IF(F25&gt;=TODAY(),F25+ROW()/100000,""))</f>
        <v/>
      </c>
      <c r="N25" s="65">
        <f>IF(M25="","",B25&amp;"|"&amp;(COUNTIFS(B$5:B$34,B25,M$5:M$34,"&lt;"&amp;M25)+1))</f>
        <v/>
      </c>
    </row>
    <row r="26" ht="28" customHeight="1">
      <c r="A26" s="65" t="n"/>
      <c r="B26" s="65" t="n"/>
      <c r="C26" s="65" t="n"/>
      <c r="D26" s="65" t="n"/>
      <c r="E26" s="66" t="n"/>
      <c r="F26" s="66" t="n"/>
      <c r="G26" s="66" t="n"/>
      <c r="H26" s="65" t="n"/>
      <c r="I26" s="69">
        <f>IF(OR(A26="",H26="Complete"),"",IF(F26="","",F26-TODAY()))</f>
        <v/>
      </c>
      <c r="J26" s="69">
        <f>IF(OR(E26="",F26=""),"",F26-E26)</f>
        <v/>
      </c>
      <c r="K26" s="65">
        <f>IF(A26="","",IF(H26="Complete","Green",IF(F26="","",IF(F26&lt;TODAY(),"Red",IF(F26-TODAY()&lt;=7,"Yellow","Green")))))</f>
        <v/>
      </c>
      <c r="L26" s="70" t="n"/>
      <c r="M26" s="65">
        <f>IF(OR(A26="",F26="",H26="Complete"),"",IF(F26&gt;=TODAY(),F26+ROW()/100000,""))</f>
        <v/>
      </c>
      <c r="N26" s="65">
        <f>IF(M26="","",B26&amp;"|"&amp;(COUNTIFS(B$5:B$34,B26,M$5:M$34,"&lt;"&amp;M26)+1))</f>
        <v/>
      </c>
    </row>
    <row r="27" ht="28" customHeight="1">
      <c r="A27" s="65" t="n"/>
      <c r="B27" s="65" t="n"/>
      <c r="C27" s="65" t="n"/>
      <c r="D27" s="65" t="n"/>
      <c r="E27" s="66" t="n"/>
      <c r="F27" s="66" t="n"/>
      <c r="G27" s="66" t="n"/>
      <c r="H27" s="65" t="n"/>
      <c r="I27" s="69">
        <f>IF(OR(A27="",H27="Complete"),"",IF(F27="","",F27-TODAY()))</f>
        <v/>
      </c>
      <c r="J27" s="69">
        <f>IF(OR(E27="",F27=""),"",F27-E27)</f>
        <v/>
      </c>
      <c r="K27" s="65">
        <f>IF(A27="","",IF(H27="Complete","Green",IF(F27="","",IF(F27&lt;TODAY(),"Red",IF(F27-TODAY()&lt;=7,"Yellow","Green")))))</f>
        <v/>
      </c>
      <c r="L27" s="70" t="n"/>
      <c r="M27" s="65">
        <f>IF(OR(A27="",F27="",H27="Complete"),"",IF(F27&gt;=TODAY(),F27+ROW()/100000,""))</f>
        <v/>
      </c>
      <c r="N27" s="65">
        <f>IF(M27="","",B27&amp;"|"&amp;(COUNTIFS(B$5:B$34,B27,M$5:M$34,"&lt;"&amp;M27)+1))</f>
        <v/>
      </c>
    </row>
    <row r="28" ht="28" customHeight="1">
      <c r="A28" s="65" t="n"/>
      <c r="B28" s="65" t="n"/>
      <c r="C28" s="65" t="n"/>
      <c r="D28" s="65" t="n"/>
      <c r="E28" s="66" t="n"/>
      <c r="F28" s="66" t="n"/>
      <c r="G28" s="66" t="n"/>
      <c r="H28" s="65" t="n"/>
      <c r="I28" s="69">
        <f>IF(OR(A28="",H28="Complete"),"",IF(F28="","",F28-TODAY()))</f>
        <v/>
      </c>
      <c r="J28" s="69">
        <f>IF(OR(E28="",F28=""),"",F28-E28)</f>
        <v/>
      </c>
      <c r="K28" s="65">
        <f>IF(A28="","",IF(H28="Complete","Green",IF(F28="","",IF(F28&lt;TODAY(),"Red",IF(F28-TODAY()&lt;=7,"Yellow","Green")))))</f>
        <v/>
      </c>
      <c r="L28" s="70" t="n"/>
      <c r="M28" s="65">
        <f>IF(OR(A28="",F28="",H28="Complete"),"",IF(F28&gt;=TODAY(),F28+ROW()/100000,""))</f>
        <v/>
      </c>
      <c r="N28" s="65">
        <f>IF(M28="","",B28&amp;"|"&amp;(COUNTIFS(B$5:B$34,B28,M$5:M$34,"&lt;"&amp;M28)+1))</f>
        <v/>
      </c>
    </row>
    <row r="29" ht="28" customHeight="1">
      <c r="A29" s="65" t="n"/>
      <c r="B29" s="65" t="n"/>
      <c r="C29" s="65" t="n"/>
      <c r="D29" s="65" t="n"/>
      <c r="E29" s="66" t="n"/>
      <c r="F29" s="66" t="n"/>
      <c r="G29" s="66" t="n"/>
      <c r="H29" s="65" t="n"/>
      <c r="I29" s="69">
        <f>IF(OR(A29="",H29="Complete"),"",IF(F29="","",F29-TODAY()))</f>
        <v/>
      </c>
      <c r="J29" s="69">
        <f>IF(OR(E29="",F29=""),"",F29-E29)</f>
        <v/>
      </c>
      <c r="K29" s="65">
        <f>IF(A29="","",IF(H29="Complete","Green",IF(F29="","",IF(F29&lt;TODAY(),"Red",IF(F29-TODAY()&lt;=7,"Yellow","Green")))))</f>
        <v/>
      </c>
      <c r="L29" s="70" t="n"/>
      <c r="M29" s="65">
        <f>IF(OR(A29="",F29="",H29="Complete"),"",IF(F29&gt;=TODAY(),F29+ROW()/100000,""))</f>
        <v/>
      </c>
      <c r="N29" s="65">
        <f>IF(M29="","",B29&amp;"|"&amp;(COUNTIFS(B$5:B$34,B29,M$5:M$34,"&lt;"&amp;M29)+1))</f>
        <v/>
      </c>
    </row>
    <row r="30" ht="28" customHeight="1">
      <c r="A30" s="65" t="n"/>
      <c r="B30" s="65" t="n"/>
      <c r="C30" s="65" t="n"/>
      <c r="D30" s="65" t="n"/>
      <c r="E30" s="66" t="n"/>
      <c r="F30" s="66" t="n"/>
      <c r="G30" s="66" t="n"/>
      <c r="H30" s="65" t="n"/>
      <c r="I30" s="69">
        <f>IF(OR(A30="",H30="Complete"),"",IF(F30="","",F30-TODAY()))</f>
        <v/>
      </c>
      <c r="J30" s="69">
        <f>IF(OR(E30="",F30=""),"",F30-E30)</f>
        <v/>
      </c>
      <c r="K30" s="65">
        <f>IF(A30="","",IF(H30="Complete","Green",IF(F30="","",IF(F30&lt;TODAY(),"Red",IF(F30-TODAY()&lt;=7,"Yellow","Green")))))</f>
        <v/>
      </c>
      <c r="L30" s="70" t="n"/>
      <c r="M30" s="65">
        <f>IF(OR(A30="",F30="",H30="Complete"),"",IF(F30&gt;=TODAY(),F30+ROW()/100000,""))</f>
        <v/>
      </c>
      <c r="N30" s="65">
        <f>IF(M30="","",B30&amp;"|"&amp;(COUNTIFS(B$5:B$34,B30,M$5:M$34,"&lt;"&amp;M30)+1))</f>
        <v/>
      </c>
    </row>
    <row r="31" ht="28" customHeight="1">
      <c r="A31" s="65" t="n"/>
      <c r="B31" s="65" t="n"/>
      <c r="C31" s="65" t="n"/>
      <c r="D31" s="65" t="n"/>
      <c r="E31" s="66" t="n"/>
      <c r="F31" s="66" t="n"/>
      <c r="G31" s="66" t="n"/>
      <c r="H31" s="65" t="n"/>
      <c r="I31" s="69">
        <f>IF(OR(A31="",H31="Complete"),"",IF(F31="","",F31-TODAY()))</f>
        <v/>
      </c>
      <c r="J31" s="69">
        <f>IF(OR(E31="",F31=""),"",F31-E31)</f>
        <v/>
      </c>
      <c r="K31" s="65">
        <f>IF(A31="","",IF(H31="Complete","Green",IF(F31="","",IF(F31&lt;TODAY(),"Red",IF(F31-TODAY()&lt;=7,"Yellow","Green")))))</f>
        <v/>
      </c>
      <c r="L31" s="70" t="n"/>
      <c r="M31" s="65">
        <f>IF(OR(A31="",F31="",H31="Complete"),"",IF(F31&gt;=TODAY(),F31+ROW()/100000,""))</f>
        <v/>
      </c>
      <c r="N31" s="65">
        <f>IF(M31="","",B31&amp;"|"&amp;(COUNTIFS(B$5:B$34,B31,M$5:M$34,"&lt;"&amp;M31)+1))</f>
        <v/>
      </c>
    </row>
    <row r="32" ht="28" customHeight="1">
      <c r="A32" s="65" t="n"/>
      <c r="B32" s="65" t="n"/>
      <c r="C32" s="65" t="n"/>
      <c r="D32" s="65" t="n"/>
      <c r="E32" s="66" t="n"/>
      <c r="F32" s="66" t="n"/>
      <c r="G32" s="66" t="n"/>
      <c r="H32" s="65" t="n"/>
      <c r="I32" s="69">
        <f>IF(OR(A32="",H32="Complete"),"",IF(F32="","",F32-TODAY()))</f>
        <v/>
      </c>
      <c r="J32" s="69">
        <f>IF(OR(E32="",F32=""),"",F32-E32)</f>
        <v/>
      </c>
      <c r="K32" s="65">
        <f>IF(A32="","",IF(H32="Complete","Green",IF(F32="","",IF(F32&lt;TODAY(),"Red",IF(F32-TODAY()&lt;=7,"Yellow","Green")))))</f>
        <v/>
      </c>
      <c r="L32" s="70" t="n"/>
      <c r="M32" s="65">
        <f>IF(OR(A32="",F32="",H32="Complete"),"",IF(F32&gt;=TODAY(),F32+ROW()/100000,""))</f>
        <v/>
      </c>
      <c r="N32" s="65">
        <f>IF(M32="","",B32&amp;"|"&amp;(COUNTIFS(B$5:B$34,B32,M$5:M$34,"&lt;"&amp;M32)+1))</f>
        <v/>
      </c>
    </row>
    <row r="33" ht="28" customHeight="1">
      <c r="A33" s="65" t="n"/>
      <c r="B33" s="65" t="n"/>
      <c r="C33" s="65" t="n"/>
      <c r="D33" s="65" t="n"/>
      <c r="E33" s="66" t="n"/>
      <c r="F33" s="66" t="n"/>
      <c r="G33" s="66" t="n"/>
      <c r="H33" s="65" t="n"/>
      <c r="I33" s="69">
        <f>IF(OR(A33="",H33="Complete"),"",IF(F33="","",F33-TODAY()))</f>
        <v/>
      </c>
      <c r="J33" s="69">
        <f>IF(OR(E33="",F33=""),"",F33-E33)</f>
        <v/>
      </c>
      <c r="K33" s="65">
        <f>IF(A33="","",IF(H33="Complete","Green",IF(F33="","",IF(F33&lt;TODAY(),"Red",IF(F33-TODAY()&lt;=7,"Yellow","Green")))))</f>
        <v/>
      </c>
      <c r="L33" s="70" t="n"/>
      <c r="M33" s="65">
        <f>IF(OR(A33="",F33="",H33="Complete"),"",IF(F33&gt;=TODAY(),F33+ROW()/100000,""))</f>
        <v/>
      </c>
      <c r="N33" s="65">
        <f>IF(M33="","",B33&amp;"|"&amp;(COUNTIFS(B$5:B$34,B33,M$5:M$34,"&lt;"&amp;M33)+1))</f>
        <v/>
      </c>
    </row>
    <row r="34" ht="28" customHeight="1">
      <c r="A34" s="65" t="n"/>
      <c r="B34" s="65" t="n"/>
      <c r="C34" s="65" t="n"/>
      <c r="D34" s="65" t="n"/>
      <c r="E34" s="66" t="n"/>
      <c r="F34" s="66" t="n"/>
      <c r="G34" s="66" t="n"/>
      <c r="H34" s="65" t="n"/>
      <c r="I34" s="69">
        <f>IF(OR(A34="",H34="Complete"),"",IF(F34="","",F34-TODAY()))</f>
        <v/>
      </c>
      <c r="J34" s="69">
        <f>IF(OR(E34="",F34=""),"",F34-E34)</f>
        <v/>
      </c>
      <c r="K34" s="65">
        <f>IF(A34="","",IF(H34="Complete","Green",IF(F34="","",IF(F34&lt;TODAY(),"Red",IF(F34-TODAY()&lt;=7,"Yellow","Green")))))</f>
        <v/>
      </c>
      <c r="L34" s="70" t="n"/>
      <c r="M34" s="65">
        <f>IF(OR(A34="",F34="",H34="Complete"),"",IF(F34&gt;=TODAY(),F34+ROW()/100000,""))</f>
        <v/>
      </c>
      <c r="N34" s="65">
        <f>IF(M34="","",B34&amp;"|"&amp;(COUNTIFS(B$5:B$34,B34,M$5:M$34,"&lt;"&amp;M34)+1))</f>
        <v/>
      </c>
    </row>
  </sheetData>
  <mergeCells count="3">
    <mergeCell ref="A3:N3"/>
    <mergeCell ref="A2:N2"/>
    <mergeCell ref="A1:N1"/>
  </mergeCells>
  <conditionalFormatting sqref="K5:K34">
    <cfRule type="expression" priority="1" dxfId="3" stopIfTrue="1">
      <formula>EXACT($K5,"Green")</formula>
    </cfRule>
    <cfRule type="expression" priority="2" dxfId="4" stopIfTrue="1">
      <formula>EXACT($K5,"Yellow")</formula>
    </cfRule>
    <cfRule type="expression" priority="3" dxfId="5" stopIfTrue="1">
      <formula>EXACT($K5,"Red")</formula>
    </cfRule>
  </conditionalFormatting>
  <conditionalFormatting sqref="H5:H34">
    <cfRule type="expression" priority="4" dxfId="8" stopIfTrue="1">
      <formula>EXACT($H5,"Not Started")</formula>
    </cfRule>
    <cfRule type="expression" priority="5" dxfId="4" stopIfTrue="1">
      <formula>EXACT($H5,"In Progress")</formula>
    </cfRule>
    <cfRule type="expression" priority="6" dxfId="3" stopIfTrue="1">
      <formula>EXACT($H5,"Complete")</formula>
    </cfRule>
    <cfRule type="expression" priority="7" dxfId="5" stopIfTrue="1">
      <formula>EXACT($H5,"Delayed")</formula>
    </cfRule>
    <cfRule type="expression" priority="8" dxfId="8" stopIfTrue="1">
      <formula>EXACT($H5,"Cancelled")</formula>
    </cfRule>
  </conditionalFormatting>
  <conditionalFormatting sqref="A5:L34">
    <cfRule type="expression" priority="9" dxfId="5" stopIfTrue="0">
      <formula>AND($A5&lt;&gt;"",$F5&lt;&gt;"",$F5&lt;TODAY(),$H5&lt;&gt;"Complete")</formula>
    </cfRule>
  </conditionalFormatting>
  <conditionalFormatting sqref="I5:I34">
    <cfRule type="expression" priority="10" dxfId="5" stopIfTrue="0">
      <formula>AND(ISNUMBER($I5),$I5&lt;0,$H5&lt;&gt;"Complete")</formula>
    </cfRule>
    <cfRule type="expression" priority="11" dxfId="4" stopIfTrue="0">
      <formula>AND(ISNUMBER($I5),$I5&gt;=0,$I5&lt;=7,$H5&lt;&gt;"Complete")</formula>
    </cfRule>
  </conditionalFormatting>
  <conditionalFormatting sqref="A5:A34">
    <cfRule type="expression" priority="12" dxfId="5" stopIfTrue="0">
      <formula>AND($A5&lt;&gt;"",COUNTIF($A$5:$A$34,$A5)&gt;1)</formula>
    </cfRule>
  </conditionalFormatting>
  <conditionalFormatting sqref="D5:D34">
    <cfRule type="expression" priority="13" dxfId="4" stopIfTrue="0">
      <formula>AND($A5&lt;&gt;"",D5="")</formula>
    </cfRule>
  </conditionalFormatting>
  <conditionalFormatting sqref="F5:F34">
    <cfRule type="expression" priority="14" dxfId="4" stopIfTrue="0">
      <formula>AND($A5&lt;&gt;"",F5="")</formula>
    </cfRule>
  </conditionalFormatting>
  <dataValidations count="3">
    <dataValidation sqref="B5:B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D5:D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H5:H34" showDropDown="0" showInputMessage="1" showErrorMessage="1" allowBlank="1" errorTitle="Value not allowed" error="Pick a value from the drop-down list (L_MilestoneStatus)." promptTitle="Select" prompt="Choose a value from the drop-down list." type="list" errorStyle="stop">
      <formula1>L_MilestoneStatus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T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36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6" customWidth="1" min="10" max="10"/>
    <col width="32" customWidth="1" min="11" max="11"/>
    <col width="26" customWidth="1" min="12" max="12"/>
    <col width="12" customWidth="1" min="13" max="13"/>
    <col width="13" customWidth="1" min="14" max="14"/>
    <col width="11" customWidth="1" min="15" max="15"/>
    <col width="26" customWidth="1" min="16" max="16"/>
    <col width="12" customWidth="1" min="17" max="17"/>
    <col width="12" customWidth="1" min="18" max="18"/>
    <col width="8" customWidth="1" min="19" max="19"/>
    <col width="16" customWidth="1" min="20" max="20"/>
  </cols>
  <sheetData>
    <row r="1" ht="32" customHeight="1">
      <c r="A1" s="1" t="inlineStr">
        <is>
          <t>RAID LOG - RISKS, ASSUMPTIONS, ISSUES, DEPENDENCIES</t>
        </is>
      </c>
    </row>
    <row r="2" ht="17" customHeight="1">
      <c r="A2" s="2" t="inlineStr">
        <is>
          <t>One controlled register for risks, assumptions, issues and dependencies. Risk score = probability x impact; dashboard charts and top-risk panels read this table.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ID</t>
        </is>
      </c>
      <c r="B4" s="64" t="inlineStr">
        <is>
          <t>Project</t>
        </is>
      </c>
      <c r="C4" s="64" t="inlineStr">
        <is>
          <t>Type</t>
        </is>
      </c>
      <c r="D4" s="64" t="inlineStr">
        <is>
          <t>Description</t>
        </is>
      </c>
      <c r="E4" s="64" t="inlineStr">
        <is>
          <t>Category</t>
        </is>
      </c>
      <c r="F4" s="64" t="inlineStr">
        <is>
          <t>Probability</t>
        </is>
      </c>
      <c r="G4" s="64" t="inlineStr">
        <is>
          <t>Impact</t>
        </is>
      </c>
      <c r="H4" s="64" t="inlineStr">
        <is>
          <t>Risk Score</t>
        </is>
      </c>
      <c r="I4" s="64" t="inlineStr">
        <is>
          <t>Priority</t>
        </is>
      </c>
      <c r="J4" s="64" t="inlineStr">
        <is>
          <t>Owner</t>
        </is>
      </c>
      <c r="K4" s="64" t="inlineStr">
        <is>
          <t>Mitigation</t>
        </is>
      </c>
      <c r="L4" s="64" t="inlineStr">
        <is>
          <t>Contingency</t>
        </is>
      </c>
      <c r="M4" s="64" t="inlineStr">
        <is>
          <t>Due Date</t>
        </is>
      </c>
      <c r="N4" s="64" t="inlineStr">
        <is>
          <t>Status</t>
        </is>
      </c>
      <c r="O4" s="64" t="inlineStr">
        <is>
          <t>Escalation</t>
        </is>
      </c>
      <c r="P4" s="64" t="inlineStr">
        <is>
          <t>Resolution</t>
        </is>
      </c>
      <c r="Q4" s="64" t="inlineStr">
        <is>
          <t>Date Raised</t>
        </is>
      </c>
      <c r="R4" s="64" t="inlineStr">
        <is>
          <t>Date Closed</t>
        </is>
      </c>
      <c r="S4" s="64" t="inlineStr">
        <is>
          <t>Rank</t>
        </is>
      </c>
      <c r="T4" s="64" t="inlineStr">
        <is>
          <t>ProjKey</t>
        </is>
      </c>
    </row>
    <row r="5" ht="28" customHeight="1">
      <c r="A5" s="65" t="inlineStr">
        <is>
          <t>RSK-001</t>
        </is>
      </c>
      <c r="B5" s="65" t="inlineStr">
        <is>
          <t>ERP Implementation</t>
        </is>
      </c>
      <c r="C5" s="65" t="inlineStr">
        <is>
          <t>Risk</t>
        </is>
      </c>
      <c r="D5" s="70" t="inlineStr">
        <is>
          <t>Key vendor may miss module delivery date</t>
        </is>
      </c>
      <c r="E5" s="65" t="inlineStr">
        <is>
          <t>Vendor</t>
        </is>
      </c>
      <c r="F5" s="65" t="inlineStr">
        <is>
          <t>High</t>
        </is>
      </c>
      <c r="G5" s="65" t="inlineStr">
        <is>
          <t>High</t>
        </is>
      </c>
      <c r="H5" s="69">
        <f>IF(OR(F5="",G5=""),"",MATCH(F5,L_Prob,0)*MATCH(G5,L_Impact,0))</f>
        <v/>
      </c>
      <c r="I5" s="65">
        <f>IF(H5="","",IF(H5&lt;=2,"Low",IF(H5&lt;=5,"Medium",IF(H5&lt;=9,"High","Critical"))))</f>
        <v/>
      </c>
      <c r="J5" s="65" t="inlineStr">
        <is>
          <t>Lisa Chen</t>
        </is>
      </c>
      <c r="K5" s="70" t="inlineStr">
        <is>
          <t>Weekly vendor checkpoints and delivery plan review</t>
        </is>
      </c>
      <c r="L5" s="70" t="inlineStr">
        <is>
          <t>Re-plan schedule with second supplier</t>
        </is>
      </c>
      <c r="M5" s="66" t="n">
        <v>46325</v>
      </c>
      <c r="N5" s="65" t="inlineStr">
        <is>
          <t>Open</t>
        </is>
      </c>
      <c r="O5" s="65" t="inlineStr">
        <is>
          <t>Yes</t>
        </is>
      </c>
      <c r="P5" s="70" t="inlineStr"/>
      <c r="Q5" s="66" t="n">
        <v>46280</v>
      </c>
      <c r="R5" s="66" t="n"/>
      <c r="S5" s="69">
        <f>IF(OR(C5&lt;&gt;"Risk",N5="Closed",A5="",H5=""),"",COUNTIFS(C$5:C$34,"Risk",N$5:N$34,"&lt;&gt;Closed",H$5:H$34,"&gt;"&amp;H5)+COUNTIFS(C$5:C5,"Risk",N$5:N5,"&lt;&gt;Closed",H$5:H5,H5))</f>
        <v/>
      </c>
      <c r="T5" s="65">
        <f>IF(OR(A5="",H5=""),"",C5&amp;"|"&amp;B5&amp;"|"&amp;(COUNTIFS(C$5:C$34,C5,B$5:B$34,B5,H$5:H$34,"&gt;"&amp;H5)+1))</f>
        <v/>
      </c>
    </row>
    <row r="6" ht="28" customHeight="1">
      <c r="A6" s="65" t="inlineStr">
        <is>
          <t>RSK-002</t>
        </is>
      </c>
      <c r="B6" s="65" t="inlineStr">
        <is>
          <t>ERP Implementation</t>
        </is>
      </c>
      <c r="C6" s="65" t="inlineStr">
        <is>
          <t>Risk</t>
        </is>
      </c>
      <c r="D6" s="70" t="inlineStr">
        <is>
          <t>Data migration quality may fail UAT</t>
        </is>
      </c>
      <c r="E6" s="65" t="inlineStr">
        <is>
          <t>Technical</t>
        </is>
      </c>
      <c r="F6" s="65" t="inlineStr">
        <is>
          <t>Critical</t>
        </is>
      </c>
      <c r="G6" s="65" t="inlineStr">
        <is>
          <t>High</t>
        </is>
      </c>
      <c r="H6" s="69">
        <f>IF(OR(F6="",G6=""),"",MATCH(F6,L_Prob,0)*MATCH(G6,L_Impact,0))</f>
        <v/>
      </c>
      <c r="I6" s="65">
        <f>IF(H6="","",IF(H6&lt;=2,"Low",IF(H6&lt;=5,"Medium",IF(H6&lt;=9,"High","Critical"))))</f>
        <v/>
      </c>
      <c r="J6" s="65" t="inlineStr">
        <is>
          <t>David Okoro</t>
        </is>
      </c>
      <c r="K6" s="70" t="inlineStr">
        <is>
          <t>Data cleansing sprints and mock migration</t>
        </is>
      </c>
      <c r="L6" s="70" t="inlineStr">
        <is>
          <t>Manual clean-up buffer before UAT</t>
        </is>
      </c>
      <c r="M6" s="66" t="n">
        <v>46319</v>
      </c>
      <c r="N6" s="65" t="inlineStr">
        <is>
          <t>Open</t>
        </is>
      </c>
      <c r="O6" s="65" t="inlineStr">
        <is>
          <t>Yes</t>
        </is>
      </c>
      <c r="P6" s="70" t="inlineStr"/>
      <c r="Q6" s="66" t="n">
        <v>46283</v>
      </c>
      <c r="R6" s="66" t="n"/>
      <c r="S6" s="69">
        <f>IF(OR(C6&lt;&gt;"Risk",N6="Closed",A6="",H6=""),"",COUNTIFS(C$5:C$34,"Risk",N$5:N$34,"&lt;&gt;Closed",H$5:H$34,"&gt;"&amp;H6)+COUNTIFS(C$5:C6,"Risk",N$5:N6,"&lt;&gt;Closed",H$5:H6,H6))</f>
        <v/>
      </c>
      <c r="T6" s="65">
        <f>IF(OR(A6="",H6=""),"",C6&amp;"|"&amp;B6&amp;"|"&amp;(COUNTIFS(C$5:C$34,C6,B$5:B$34,B6,H$5:H$34,"&gt;"&amp;H6)+1))</f>
        <v/>
      </c>
    </row>
    <row r="7" ht="28" customHeight="1">
      <c r="A7" s="65" t="inlineStr">
        <is>
          <t>RSK-003</t>
        </is>
      </c>
      <c r="B7" s="65" t="inlineStr">
        <is>
          <t>HR Management System</t>
        </is>
      </c>
      <c r="C7" s="65" t="inlineStr">
        <is>
          <t>Risk</t>
        </is>
      </c>
      <c r="D7" s="70" t="inlineStr">
        <is>
          <t>Business users unavailable during peak season</t>
        </is>
      </c>
      <c r="E7" s="65" t="inlineStr">
        <is>
          <t>Resource</t>
        </is>
      </c>
      <c r="F7" s="65" t="inlineStr">
        <is>
          <t>Medium</t>
        </is>
      </c>
      <c r="G7" s="65" t="inlineStr">
        <is>
          <t>High</t>
        </is>
      </c>
      <c r="H7" s="69">
        <f>IF(OR(F7="",G7=""),"",MATCH(F7,L_Prob,0)*MATCH(G7,L_Impact,0))</f>
        <v/>
      </c>
      <c r="I7" s="65">
        <f>IF(H7="","",IF(H7&lt;=2,"Low",IF(H7&lt;=5,"Medium",IF(H7&lt;=9,"High","Critical"))))</f>
        <v/>
      </c>
      <c r="J7" s="65" t="inlineStr">
        <is>
          <t>David Okoro</t>
        </is>
      </c>
      <c r="K7" s="70" t="inlineStr">
        <is>
          <t>Agree UAT window with HR early</t>
        </is>
      </c>
      <c r="L7" s="70" t="inlineStr">
        <is>
          <t>Shift UAT to next quarter</t>
        </is>
      </c>
      <c r="M7" s="66" t="n">
        <v>46336</v>
      </c>
      <c r="N7" s="65" t="inlineStr">
        <is>
          <t>Open</t>
        </is>
      </c>
      <c r="O7" s="65" t="inlineStr">
        <is>
          <t>No</t>
        </is>
      </c>
      <c r="P7" s="70" t="inlineStr"/>
      <c r="Q7" s="66" t="n">
        <v>46287</v>
      </c>
      <c r="R7" s="66" t="n"/>
      <c r="S7" s="69">
        <f>IF(OR(C7&lt;&gt;"Risk",N7="Closed",A7="",H7=""),"",COUNTIFS(C$5:C$34,"Risk",N$5:N$34,"&lt;&gt;Closed",H$5:H$34,"&gt;"&amp;H7)+COUNTIFS(C$5:C7,"Risk",N$5:N7,"&lt;&gt;Closed",H$5:H7,H7))</f>
        <v/>
      </c>
      <c r="T7" s="65">
        <f>IF(OR(A7="",H7=""),"",C7&amp;"|"&amp;B7&amp;"|"&amp;(COUNTIFS(C$5:C$34,C7,B$5:B$34,B7,H$5:H$34,"&gt;"&amp;H7)+1))</f>
        <v/>
      </c>
    </row>
    <row r="8" ht="28" customHeight="1">
      <c r="A8" s="65" t="inlineStr">
        <is>
          <t>RSK-004</t>
        </is>
      </c>
      <c r="B8" s="65" t="inlineStr">
        <is>
          <t>Network Infrastructure Upgrade</t>
        </is>
      </c>
      <c r="C8" s="65" t="inlineStr">
        <is>
          <t>Risk</t>
        </is>
      </c>
      <c r="D8" s="70" t="inlineStr">
        <is>
          <t>Cable supply lead time exceeds plan</t>
        </is>
      </c>
      <c r="E8" s="65" t="inlineStr">
        <is>
          <t>Vendor</t>
        </is>
      </c>
      <c r="F8" s="65" t="inlineStr">
        <is>
          <t>Medium</t>
        </is>
      </c>
      <c r="G8" s="65" t="inlineStr">
        <is>
          <t>Medium</t>
        </is>
      </c>
      <c r="H8" s="69">
        <f>IF(OR(F8="",G8=""),"",MATCH(F8,L_Prob,0)*MATCH(G8,L_Impact,0))</f>
        <v/>
      </c>
      <c r="I8" s="65">
        <f>IF(H8="","",IF(H8&lt;=2,"Low",IF(H8&lt;=5,"Medium",IF(H8&lt;=9,"High","Critical"))))</f>
        <v/>
      </c>
      <c r="J8" s="65" t="inlineStr">
        <is>
          <t>Lisa Chen</t>
        </is>
      </c>
      <c r="K8" s="70" t="inlineStr">
        <is>
          <t>Order cable in advance of install window</t>
        </is>
      </c>
      <c r="L8" s="70" t="inlineStr">
        <is>
          <t>Use alternative local supplier</t>
        </is>
      </c>
      <c r="M8" s="66" t="n">
        <v>46315</v>
      </c>
      <c r="N8" s="65" t="inlineStr">
        <is>
          <t>In Progress</t>
        </is>
      </c>
      <c r="O8" s="65" t="inlineStr">
        <is>
          <t>No</t>
        </is>
      </c>
      <c r="P8" s="70" t="inlineStr"/>
      <c r="Q8" s="66" t="n">
        <v>46275</v>
      </c>
      <c r="R8" s="66" t="n"/>
      <c r="S8" s="69">
        <f>IF(OR(C8&lt;&gt;"Risk",N8="Closed",A8="",H8=""),"",COUNTIFS(C$5:C$34,"Risk",N$5:N$34,"&lt;&gt;Closed",H$5:H$34,"&gt;"&amp;H8)+COUNTIFS(C$5:C8,"Risk",N$5:N8,"&lt;&gt;Closed",H$5:H8,H8))</f>
        <v/>
      </c>
      <c r="T8" s="65">
        <f>IF(OR(A8="",H8=""),"",C8&amp;"|"&amp;B8&amp;"|"&amp;(COUNTIFS(C$5:C$34,C8,B$5:B$34,B8,H$5:H$34,"&gt;"&amp;H8)+1))</f>
        <v/>
      </c>
    </row>
    <row r="9" ht="28" customHeight="1">
      <c r="A9" s="65" t="inlineStr">
        <is>
          <t>RSK-005</t>
        </is>
      </c>
      <c r="B9" s="65" t="inlineStr">
        <is>
          <t>Website Development</t>
        </is>
      </c>
      <c r="C9" s="65" t="inlineStr">
        <is>
          <t>Risk</t>
        </is>
      </c>
      <c r="D9" s="70" t="inlineStr">
        <is>
          <t>Scope creep from marketing change requests</t>
        </is>
      </c>
      <c r="E9" s="65" t="inlineStr">
        <is>
          <t>Scope</t>
        </is>
      </c>
      <c r="F9" s="65" t="inlineStr">
        <is>
          <t>High</t>
        </is>
      </c>
      <c r="G9" s="65" t="inlineStr">
        <is>
          <t>Medium</t>
        </is>
      </c>
      <c r="H9" s="69">
        <f>IF(OR(F9="",G9=""),"",MATCH(F9,L_Prob,0)*MATCH(G9,L_Impact,0))</f>
        <v/>
      </c>
      <c r="I9" s="65">
        <f>IF(H9="","",IF(H9&lt;=2,"Low",IF(H9&lt;=5,"Medium",IF(H9&lt;=9,"High","Critical"))))</f>
        <v/>
      </c>
      <c r="J9" s="65" t="inlineStr">
        <is>
          <t>Maria Silva</t>
        </is>
      </c>
      <c r="K9" s="70" t="inlineStr">
        <is>
          <t>Freeze scope and route changes to change control</t>
        </is>
      </c>
      <c r="L9" s="70" t="inlineStr">
        <is>
          <t>Reduce page count in phase 1</t>
        </is>
      </c>
      <c r="M9" s="66" t="n">
        <v>46323</v>
      </c>
      <c r="N9" s="65" t="inlineStr">
        <is>
          <t>Open</t>
        </is>
      </c>
      <c r="O9" s="65" t="inlineStr">
        <is>
          <t>No</t>
        </is>
      </c>
      <c r="P9" s="70" t="inlineStr"/>
      <c r="Q9" s="66" t="n">
        <v>46290</v>
      </c>
      <c r="R9" s="66" t="n"/>
      <c r="S9" s="69">
        <f>IF(OR(C9&lt;&gt;"Risk",N9="Closed",A9="",H9=""),"",COUNTIFS(C$5:C$34,"Risk",N$5:N$34,"&lt;&gt;Closed",H$5:H$34,"&gt;"&amp;H9)+COUNTIFS(C$5:C9,"Risk",N$5:N9,"&lt;&gt;Closed",H$5:H9,H9))</f>
        <v/>
      </c>
      <c r="T9" s="65">
        <f>IF(OR(A9="",H9=""),"",C9&amp;"|"&amp;B9&amp;"|"&amp;(COUNTIFS(C$5:C$34,C9,B$5:B$34,B9,H$5:H$34,"&gt;"&amp;H9)+1))</f>
        <v/>
      </c>
    </row>
    <row r="10" ht="28" customHeight="1">
      <c r="A10" s="65" t="inlineStr">
        <is>
          <t>RSK-006</t>
        </is>
      </c>
      <c r="B10" s="65" t="inlineStr">
        <is>
          <t>Office Security Upgrade</t>
        </is>
      </c>
      <c r="C10" s="65" t="inlineStr">
        <is>
          <t>Risk</t>
        </is>
      </c>
      <c r="D10" s="70" t="inlineStr">
        <is>
          <t>Power interruption during installation</t>
        </is>
      </c>
      <c r="E10" s="65" t="inlineStr">
        <is>
          <t>Technical</t>
        </is>
      </c>
      <c r="F10" s="65" t="inlineStr">
        <is>
          <t>Low</t>
        </is>
      </c>
      <c r="G10" s="65" t="inlineStr">
        <is>
          <t>Medium</t>
        </is>
      </c>
      <c r="H10" s="69">
        <f>IF(OR(F10="",G10=""),"",MATCH(F10,L_Prob,0)*MATCH(G10,L_Impact,0))</f>
        <v/>
      </c>
      <c r="I10" s="65">
        <f>IF(H10="","",IF(H10&lt;=2,"Low",IF(H10&lt;=5,"Medium",IF(H10&lt;=9,"High","Critical"))))</f>
        <v/>
      </c>
      <c r="J10" s="65" t="inlineStr">
        <is>
          <t>Tom Becker</t>
        </is>
      </c>
      <c r="K10" s="70" t="inlineStr">
        <is>
          <t>Schedule works outside office hours</t>
        </is>
      </c>
      <c r="L10" s="70" t="inlineStr">
        <is>
          <t>Reschedule installation weekend</t>
        </is>
      </c>
      <c r="M10" s="66" t="n">
        <v>46331</v>
      </c>
      <c r="N10" s="65" t="inlineStr">
        <is>
          <t>Open</t>
        </is>
      </c>
      <c r="O10" s="65" t="inlineStr">
        <is>
          <t>No</t>
        </is>
      </c>
      <c r="P10" s="70" t="inlineStr"/>
      <c r="Q10" s="66" t="n">
        <v>46296</v>
      </c>
      <c r="R10" s="66" t="n"/>
      <c r="S10" s="69">
        <f>IF(OR(C10&lt;&gt;"Risk",N10="Closed",A10="",H10=""),"",COUNTIFS(C$5:C$34,"Risk",N$5:N$34,"&lt;&gt;Closed",H$5:H$34,"&gt;"&amp;H10)+COUNTIFS(C$5:C10,"Risk",N$5:N10,"&lt;&gt;Closed",H$5:H10,H10))</f>
        <v/>
      </c>
      <c r="T10" s="65">
        <f>IF(OR(A10="",H10=""),"",C10&amp;"|"&amp;B10&amp;"|"&amp;(COUNTIFS(C$5:C$34,C10,B$5:B$34,B10,H$5:H$34,"&gt;"&amp;H10)+1))</f>
        <v/>
      </c>
    </row>
    <row r="11" ht="28" customHeight="1">
      <c r="A11" s="65" t="inlineStr">
        <is>
          <t>RSK-007</t>
        </is>
      </c>
      <c r="B11" s="65" t="inlineStr">
        <is>
          <t>Network Infrastructure Upgrade</t>
        </is>
      </c>
      <c r="C11" s="65" t="inlineStr">
        <is>
          <t>Risk</t>
        </is>
      </c>
      <c r="D11" s="70" t="inlineStr">
        <is>
          <t>Switch firmware defect found in test</t>
        </is>
      </c>
      <c r="E11" s="65" t="inlineStr">
        <is>
          <t>Technical</t>
        </is>
      </c>
      <c r="F11" s="65" t="inlineStr">
        <is>
          <t>High</t>
        </is>
      </c>
      <c r="G11" s="65" t="inlineStr">
        <is>
          <t>High</t>
        </is>
      </c>
      <c r="H11" s="69">
        <f>IF(OR(F11="",G11=""),"",MATCH(F11,L_Prob,0)*MATCH(G11,L_Impact,0))</f>
        <v/>
      </c>
      <c r="I11" s="65">
        <f>IF(H11="","",IF(H11&lt;=2,"Low",IF(H11&lt;=5,"Medium",IF(H11&lt;=9,"High","Critical"))))</f>
        <v/>
      </c>
      <c r="J11" s="65" t="inlineStr">
        <is>
          <t>Tom Becker</t>
        </is>
      </c>
      <c r="K11" s="70" t="inlineStr">
        <is>
          <t>Upgrade firmware before rollout</t>
        </is>
      </c>
      <c r="L11" s="70" t="inlineStr">
        <is>
          <t>Rollback to previous firmware</t>
        </is>
      </c>
      <c r="M11" s="66" t="n">
        <v>46295</v>
      </c>
      <c r="N11" s="65" t="inlineStr">
        <is>
          <t>Closed</t>
        </is>
      </c>
      <c r="O11" s="65" t="inlineStr">
        <is>
          <t>No</t>
        </is>
      </c>
      <c r="P11" s="70" t="inlineStr">
        <is>
          <t>Firmware 7.2.1 applied and verified</t>
        </is>
      </c>
      <c r="Q11" s="66" t="n">
        <v>46277</v>
      </c>
      <c r="R11" s="66" t="n">
        <v>46294</v>
      </c>
      <c r="S11" s="69">
        <f>IF(OR(C11&lt;&gt;"Risk",N11="Closed",A11="",H11=""),"",COUNTIFS(C$5:C$34,"Risk",N$5:N$34,"&lt;&gt;Closed",H$5:H$34,"&gt;"&amp;H11)+COUNTIFS(C$5:C11,"Risk",N$5:N11,"&lt;&gt;Closed",H$5:H11,H11))</f>
        <v/>
      </c>
      <c r="T11" s="65">
        <f>IF(OR(A11="",H11=""),"",C11&amp;"|"&amp;B11&amp;"|"&amp;(COUNTIFS(C$5:C$34,C11,B$5:B$34,B11,H$5:H$34,"&gt;"&amp;H11)+1))</f>
        <v/>
      </c>
    </row>
    <row r="12" ht="28" customHeight="1">
      <c r="A12" s="65" t="inlineStr">
        <is>
          <t>ASM-001</t>
        </is>
      </c>
      <c r="B12" s="65" t="inlineStr">
        <is>
          <t>ERP Implementation</t>
        </is>
      </c>
      <c r="C12" s="65" t="inlineStr">
        <is>
          <t>Assumption</t>
        </is>
      </c>
      <c r="D12" s="70" t="inlineStr">
        <is>
          <t>Approved amount of 850,000 covers all phases</t>
        </is>
      </c>
      <c r="E12" s="65" t="inlineStr">
        <is>
          <t>Budget</t>
        </is>
      </c>
      <c r="F12" s="65" t="inlineStr">
        <is>
          <t>Medium</t>
        </is>
      </c>
      <c r="G12" s="65" t="inlineStr">
        <is>
          <t>High</t>
        </is>
      </c>
      <c r="H12" s="69">
        <f>IF(OR(F12="",G12=""),"",MATCH(F12,L_Prob,0)*MATCH(G12,L_Impact,0))</f>
        <v/>
      </c>
      <c r="I12" s="65">
        <f>IF(H12="","",IF(H12&lt;=2,"Low",IF(H12&lt;=5,"Medium",IF(H12&lt;=9,"High","Critical"))))</f>
        <v/>
      </c>
      <c r="J12" s="65" t="inlineStr">
        <is>
          <t>Priya Raman</t>
        </is>
      </c>
      <c r="K12" s="70" t="inlineStr">
        <is>
          <t>Confirm contingency drawdown rules with Finance</t>
        </is>
      </c>
      <c r="L12" s="70" t="inlineStr">
        <is>
          <t>Raise change request if gap</t>
        </is>
      </c>
      <c r="M12" s="66" t="n">
        <v>46326</v>
      </c>
      <c r="N12" s="65" t="inlineStr">
        <is>
          <t>Open</t>
        </is>
      </c>
      <c r="O12" s="65" t="inlineStr">
        <is>
          <t>No</t>
        </is>
      </c>
      <c r="P12" s="70" t="inlineStr"/>
      <c r="Q12" s="66" t="n">
        <v>46208</v>
      </c>
      <c r="R12" s="66" t="n"/>
      <c r="S12" s="69">
        <f>IF(OR(C12&lt;&gt;"Risk",N12="Closed",A12="",H12=""),"",COUNTIFS(C$5:C$34,"Risk",N$5:N$34,"&lt;&gt;Closed",H$5:H$34,"&gt;"&amp;H12)+COUNTIFS(C$5:C12,"Risk",N$5:N12,"&lt;&gt;Closed",H$5:H12,H12))</f>
        <v/>
      </c>
      <c r="T12" s="65">
        <f>IF(OR(A12="",H12=""),"",C12&amp;"|"&amp;B12&amp;"|"&amp;(COUNTIFS(C$5:C$34,C12,B$5:B$34,B12,H$5:H$34,"&gt;"&amp;H12)+1))</f>
        <v/>
      </c>
    </row>
    <row r="13" ht="28" customHeight="1">
      <c r="A13" s="65" t="inlineStr">
        <is>
          <t>ASM-002</t>
        </is>
      </c>
      <c r="B13" s="65" t="inlineStr">
        <is>
          <t>HR Management System</t>
        </is>
      </c>
      <c r="C13" s="65" t="inlineStr">
        <is>
          <t>Assumption</t>
        </is>
      </c>
      <c r="D13" s="70" t="inlineStr">
        <is>
          <t>Legacy HR data can be migrated in one run</t>
        </is>
      </c>
      <c r="E13" s="65" t="inlineStr">
        <is>
          <t>Technical</t>
        </is>
      </c>
      <c r="F13" s="65" t="inlineStr">
        <is>
          <t>Medium</t>
        </is>
      </c>
      <c r="G13" s="65" t="inlineStr">
        <is>
          <t>Medium</t>
        </is>
      </c>
      <c r="H13" s="69">
        <f>IF(OR(F13="",G13=""),"",MATCH(F13,L_Prob,0)*MATCH(G13,L_Impact,0))</f>
        <v/>
      </c>
      <c r="I13" s="65">
        <f>IF(H13="","",IF(H13&lt;=2,"Low",IF(H13&lt;=5,"Medium",IF(H13&lt;=9,"High","Critical"))))</f>
        <v/>
      </c>
      <c r="J13" s="65" t="inlineStr">
        <is>
          <t>David Okoro</t>
        </is>
      </c>
      <c r="K13" s="70" t="inlineStr">
        <is>
          <t>Validate data quality sample</t>
        </is>
      </c>
      <c r="L13" s="70" t="inlineStr">
        <is>
          <t>Split migration into two batches</t>
        </is>
      </c>
      <c r="M13" s="66" t="n">
        <v>46341</v>
      </c>
      <c r="N13" s="65" t="inlineStr">
        <is>
          <t>Open</t>
        </is>
      </c>
      <c r="O13" s="65" t="inlineStr">
        <is>
          <t>No</t>
        </is>
      </c>
      <c r="P13" s="70" t="inlineStr"/>
      <c r="Q13" s="66" t="n">
        <v>46273</v>
      </c>
      <c r="R13" s="66" t="n"/>
      <c r="S13" s="69">
        <f>IF(OR(C13&lt;&gt;"Risk",N13="Closed",A13="",H13=""),"",COUNTIFS(C$5:C$34,"Risk",N$5:N$34,"&lt;&gt;Closed",H$5:H$34,"&gt;"&amp;H13)+COUNTIFS(C$5:C13,"Risk",N$5:N13,"&lt;&gt;Closed",H$5:H13,H13))</f>
        <v/>
      </c>
      <c r="T13" s="65">
        <f>IF(OR(A13="",H13=""),"",C13&amp;"|"&amp;B13&amp;"|"&amp;(COUNTIFS(C$5:C$34,C13,B$5:B$34,B13,H$5:H$34,"&gt;"&amp;H13)+1))</f>
        <v/>
      </c>
    </row>
    <row r="14" ht="28" customHeight="1">
      <c r="A14" s="65" t="inlineStr">
        <is>
          <t>ISS-001</t>
        </is>
      </c>
      <c r="B14" s="65" t="inlineStr">
        <is>
          <t>ERP Implementation</t>
        </is>
      </c>
      <c r="C14" s="65" t="inlineStr">
        <is>
          <t>Issue</t>
        </is>
      </c>
      <c r="D14" s="70" t="inlineStr">
        <is>
          <t>UAT test environment not available</t>
        </is>
      </c>
      <c r="E14" s="65" t="inlineStr">
        <is>
          <t>Technical</t>
        </is>
      </c>
      <c r="F14" s="65" t="inlineStr">
        <is>
          <t>High</t>
        </is>
      </c>
      <c r="G14" s="65" t="inlineStr">
        <is>
          <t>High</t>
        </is>
      </c>
      <c r="H14" s="69">
        <f>IF(OR(F14="",G14=""),"",MATCH(F14,L_Prob,0)*MATCH(G14,L_Impact,0))</f>
        <v/>
      </c>
      <c r="I14" s="65">
        <f>IF(H14="","",IF(H14&lt;=2,"Low",IF(H14&lt;=5,"Medium",IF(H14&lt;=9,"High","Critical"))))</f>
        <v/>
      </c>
      <c r="J14" s="65" t="inlineStr">
        <is>
          <t>Tom Becker</t>
        </is>
      </c>
      <c r="K14" s="70" t="inlineStr">
        <is>
          <t>Provision environment by 12 Oct</t>
        </is>
      </c>
      <c r="L14" s="70" t="inlineStr">
        <is>
          <t>Book shared test server</t>
        </is>
      </c>
      <c r="M14" s="66" t="n">
        <v>46307</v>
      </c>
      <c r="N14" s="65" t="inlineStr">
        <is>
          <t>Open</t>
        </is>
      </c>
      <c r="O14" s="65" t="inlineStr">
        <is>
          <t>Yes</t>
        </is>
      </c>
      <c r="P14" s="70" t="inlineStr"/>
      <c r="Q14" s="66" t="n">
        <v>46301</v>
      </c>
      <c r="R14" s="66" t="n"/>
      <c r="S14" s="69">
        <f>IF(OR(C14&lt;&gt;"Risk",N14="Closed",A14="",H14=""),"",COUNTIFS(C$5:C$34,"Risk",N$5:N$34,"&lt;&gt;Closed",H$5:H$34,"&gt;"&amp;H14)+COUNTIFS(C$5:C14,"Risk",N$5:N14,"&lt;&gt;Closed",H$5:H14,H14))</f>
        <v/>
      </c>
      <c r="T14" s="65">
        <f>IF(OR(A14="",H14=""),"",C14&amp;"|"&amp;B14&amp;"|"&amp;(COUNTIFS(C$5:C$34,C14,B$5:B$34,B14,H$5:H$34,"&gt;"&amp;H14)+1))</f>
        <v/>
      </c>
    </row>
    <row r="15" ht="28" customHeight="1">
      <c r="A15" s="65" t="inlineStr">
        <is>
          <t>ISS-002</t>
        </is>
      </c>
      <c r="B15" s="65" t="inlineStr">
        <is>
          <t>HR Management System</t>
        </is>
      </c>
      <c r="C15" s="65" t="inlineStr">
        <is>
          <t>Issue</t>
        </is>
      </c>
      <c r="D15" s="70" t="inlineStr">
        <is>
          <t>Incomplete employee data for migration</t>
        </is>
      </c>
      <c r="E15" s="65" t="inlineStr">
        <is>
          <t>Resource</t>
        </is>
      </c>
      <c r="F15" s="65" t="inlineStr">
        <is>
          <t>High</t>
        </is>
      </c>
      <c r="G15" s="65" t="inlineStr">
        <is>
          <t>Medium</t>
        </is>
      </c>
      <c r="H15" s="69">
        <f>IF(OR(F15="",G15=""),"",MATCH(F15,L_Prob,0)*MATCH(G15,L_Impact,0))</f>
        <v/>
      </c>
      <c r="I15" s="65">
        <f>IF(H15="","",IF(H15&lt;=2,"Low",IF(H15&lt;=5,"Medium",IF(H15&lt;=9,"High","Critical"))))</f>
        <v/>
      </c>
      <c r="J15" s="65" t="inlineStr">
        <is>
          <t>David Okoro</t>
        </is>
      </c>
      <c r="K15" s="70" t="inlineStr">
        <is>
          <t>HR to complete missing fields</t>
        </is>
      </c>
      <c r="L15" s="70" t="inlineStr">
        <is>
          <t>Manual completion during migration</t>
        </is>
      </c>
      <c r="M15" s="66" t="n">
        <v>46310</v>
      </c>
      <c r="N15" s="65" t="inlineStr">
        <is>
          <t>In Progress</t>
        </is>
      </c>
      <c r="O15" s="65" t="inlineStr">
        <is>
          <t>No</t>
        </is>
      </c>
      <c r="P15" s="70" t="inlineStr"/>
      <c r="Q15" s="66" t="n">
        <v>46297</v>
      </c>
      <c r="R15" s="66" t="n"/>
      <c r="S15" s="69">
        <f>IF(OR(C15&lt;&gt;"Risk",N15="Closed",A15="",H15=""),"",COUNTIFS(C$5:C$34,"Risk",N$5:N$34,"&lt;&gt;Closed",H$5:H$34,"&gt;"&amp;H15)+COUNTIFS(C$5:C15,"Risk",N$5:N15,"&lt;&gt;Closed",H$5:H15,H15))</f>
        <v/>
      </c>
      <c r="T15" s="65">
        <f>IF(OR(A15="",H15=""),"",C15&amp;"|"&amp;B15&amp;"|"&amp;(COUNTIFS(C$5:C$34,C15,B$5:B$34,B15,H$5:H$34,"&gt;"&amp;H15)+1))</f>
        <v/>
      </c>
    </row>
    <row r="16" ht="28" customHeight="1">
      <c r="A16" s="65" t="inlineStr">
        <is>
          <t>ISS-003</t>
        </is>
      </c>
      <c r="B16" s="65" t="inlineStr">
        <is>
          <t>Network Infrastructure Upgrade</t>
        </is>
      </c>
      <c r="C16" s="65" t="inlineStr">
        <is>
          <t>Issue</t>
        </is>
      </c>
      <c r="D16" s="70" t="inlineStr">
        <is>
          <t>Site access delayed by facilities</t>
        </is>
      </c>
      <c r="E16" s="65" t="inlineStr">
        <is>
          <t>Resource</t>
        </is>
      </c>
      <c r="F16" s="65" t="inlineStr">
        <is>
          <t>Medium</t>
        </is>
      </c>
      <c r="G16" s="65" t="inlineStr">
        <is>
          <t>Medium</t>
        </is>
      </c>
      <c r="H16" s="69">
        <f>IF(OR(F16="",G16=""),"",MATCH(F16,L_Prob,0)*MATCH(G16,L_Impact,0))</f>
        <v/>
      </c>
      <c r="I16" s="65">
        <f>IF(H16="","",IF(H16&lt;=2,"Low",IF(H16&lt;=5,"Medium",IF(H16&lt;=9,"High","Critical"))))</f>
        <v/>
      </c>
      <c r="J16" s="65" t="inlineStr">
        <is>
          <t>Tom Becker</t>
        </is>
      </c>
      <c r="K16" s="70" t="inlineStr">
        <is>
          <t>Confirm access window with facilities</t>
        </is>
      </c>
      <c r="L16" s="70" t="inlineStr">
        <is>
          <t>Reschedule installation</t>
        </is>
      </c>
      <c r="M16" s="66" t="n">
        <v>46309</v>
      </c>
      <c r="N16" s="65" t="inlineStr">
        <is>
          <t>In Progress</t>
        </is>
      </c>
      <c r="O16" s="65" t="inlineStr">
        <is>
          <t>No</t>
        </is>
      </c>
      <c r="P16" s="70" t="inlineStr"/>
      <c r="Q16" s="66" t="n">
        <v>46298</v>
      </c>
      <c r="R16" s="66" t="n"/>
      <c r="S16" s="69">
        <f>IF(OR(C16&lt;&gt;"Risk",N16="Closed",A16="",H16=""),"",COUNTIFS(C$5:C$34,"Risk",N$5:N$34,"&lt;&gt;Closed",H$5:H$34,"&gt;"&amp;H16)+COUNTIFS(C$5:C16,"Risk",N$5:N16,"&lt;&gt;Closed",H$5:H16,H16))</f>
        <v/>
      </c>
      <c r="T16" s="65">
        <f>IF(OR(A16="",H16=""),"",C16&amp;"|"&amp;B16&amp;"|"&amp;(COUNTIFS(C$5:C$34,C16,B$5:B$34,B16,H$5:H$34,"&gt;"&amp;H16)+1))</f>
        <v/>
      </c>
    </row>
    <row r="17" ht="28" customHeight="1">
      <c r="A17" s="65" t="inlineStr">
        <is>
          <t>ISS-004</t>
        </is>
      </c>
      <c r="B17" s="65" t="inlineStr">
        <is>
          <t>ERP Implementation</t>
        </is>
      </c>
      <c r="C17" s="65" t="inlineStr">
        <is>
          <t>Issue</t>
        </is>
      </c>
      <c r="D17" s="70" t="inlineStr">
        <is>
          <t>Finance analyst not yet assigned to project</t>
        </is>
      </c>
      <c r="E17" s="65" t="inlineStr">
        <is>
          <t>Resource</t>
        </is>
      </c>
      <c r="F17" s="65" t="inlineStr">
        <is>
          <t>Low</t>
        </is>
      </c>
      <c r="G17" s="65" t="inlineStr">
        <is>
          <t>Medium</t>
        </is>
      </c>
      <c r="H17" s="69">
        <f>IF(OR(F17="",G17=""),"",MATCH(F17,L_Prob,0)*MATCH(G17,L_Impact,0))</f>
        <v/>
      </c>
      <c r="I17" s="65">
        <f>IF(H17="","",IF(H17&lt;=2,"Low",IF(H17&lt;=5,"Medium",IF(H17&lt;=9,"High","Critical"))))</f>
        <v/>
      </c>
      <c r="J17" s="65" t="inlineStr">
        <is>
          <t>Ahmed Khan</t>
        </is>
      </c>
      <c r="K17" s="70" t="inlineStr">
        <is>
          <t>Sponsor to nominate analyst</t>
        </is>
      </c>
      <c r="L17" s="70" t="inlineStr">
        <is>
          <t>PMO provides interim support</t>
        </is>
      </c>
      <c r="M17" s="66" t="n">
        <v>46315</v>
      </c>
      <c r="N17" s="65" t="inlineStr">
        <is>
          <t>Open</t>
        </is>
      </c>
      <c r="O17" s="65" t="inlineStr">
        <is>
          <t>No</t>
        </is>
      </c>
      <c r="P17" s="70" t="inlineStr"/>
      <c r="Q17" s="66" t="n">
        <v>46300</v>
      </c>
      <c r="R17" s="66" t="n"/>
      <c r="S17" s="69">
        <f>IF(OR(C17&lt;&gt;"Risk",N17="Closed",A17="",H17=""),"",COUNTIFS(C$5:C$34,"Risk",N$5:N$34,"&lt;&gt;Closed",H$5:H$34,"&gt;"&amp;H17)+COUNTIFS(C$5:C17,"Risk",N$5:N17,"&lt;&gt;Closed",H$5:H17,H17))</f>
        <v/>
      </c>
      <c r="T17" s="65">
        <f>IF(OR(A17="",H17=""),"",C17&amp;"|"&amp;B17&amp;"|"&amp;(COUNTIFS(C$5:C$34,C17,B$5:B$34,B17,H$5:H$34,"&gt;"&amp;H17)+1))</f>
        <v/>
      </c>
    </row>
    <row r="18" ht="28" customHeight="1">
      <c r="A18" s="65" t="inlineStr">
        <is>
          <t>ISS-005</t>
        </is>
      </c>
      <c r="B18" s="65" t="inlineStr">
        <is>
          <t>Website Development</t>
        </is>
      </c>
      <c r="C18" s="65" t="inlineStr">
        <is>
          <t>Issue</t>
        </is>
      </c>
      <c r="D18" s="70" t="inlineStr">
        <is>
          <t>Hosting certificate expired</t>
        </is>
      </c>
      <c r="E18" s="65" t="inlineStr">
        <is>
          <t>Technical</t>
        </is>
      </c>
      <c r="F18" s="65" t="inlineStr">
        <is>
          <t>Medium</t>
        </is>
      </c>
      <c r="G18" s="65" t="inlineStr">
        <is>
          <t>High</t>
        </is>
      </c>
      <c r="H18" s="69">
        <f>IF(OR(F18="",G18=""),"",MATCH(F18,L_Prob,0)*MATCH(G18,L_Impact,0))</f>
        <v/>
      </c>
      <c r="I18" s="65">
        <f>IF(H18="","",IF(H18&lt;=2,"Low",IF(H18&lt;=5,"Medium",IF(H18&lt;=9,"High","Critical"))))</f>
        <v/>
      </c>
      <c r="J18" s="65" t="inlineStr">
        <is>
          <t>Tom Becker</t>
        </is>
      </c>
      <c r="K18" s="70" t="inlineStr">
        <is>
          <t>Renew certificate</t>
        </is>
      </c>
      <c r="L18" s="70" t="inlineStr">
        <is>
          <t>Temporary certificate issued</t>
        </is>
      </c>
      <c r="M18" s="66" t="n">
        <v>46285</v>
      </c>
      <c r="N18" s="65" t="inlineStr">
        <is>
          <t>Closed</t>
        </is>
      </c>
      <c r="O18" s="65" t="inlineStr">
        <is>
          <t>No</t>
        </is>
      </c>
      <c r="P18" s="70" t="inlineStr">
        <is>
          <t>Certificate renewed for 12 months</t>
        </is>
      </c>
      <c r="Q18" s="66" t="n">
        <v>46283</v>
      </c>
      <c r="R18" s="66" t="n">
        <v>46284</v>
      </c>
      <c r="S18" s="69">
        <f>IF(OR(C18&lt;&gt;"Risk",N18="Closed",A18="",H18=""),"",COUNTIFS(C$5:C$34,"Risk",N$5:N$34,"&lt;&gt;Closed",H$5:H$34,"&gt;"&amp;H18)+COUNTIFS(C$5:C18,"Risk",N$5:N18,"&lt;&gt;Closed",H$5:H18,H18))</f>
        <v/>
      </c>
      <c r="T18" s="65">
        <f>IF(OR(A18="",H18=""),"",C18&amp;"|"&amp;B18&amp;"|"&amp;(COUNTIFS(C$5:C$34,C18,B$5:B$34,B18,H$5:H$34,"&gt;"&amp;H18)+1))</f>
        <v/>
      </c>
    </row>
    <row r="19" ht="28" customHeight="1">
      <c r="A19" s="65" t="inlineStr">
        <is>
          <t>DEP-001</t>
        </is>
      </c>
      <c r="B19" s="65" t="inlineStr">
        <is>
          <t>ERP Implementation</t>
        </is>
      </c>
      <c r="C19" s="65" t="inlineStr">
        <is>
          <t>Dependency</t>
        </is>
      </c>
      <c r="D19" s="70" t="inlineStr">
        <is>
          <t>Payment gateway provider approval pending</t>
        </is>
      </c>
      <c r="E19" s="65" t="inlineStr">
        <is>
          <t>Vendor</t>
        </is>
      </c>
      <c r="F19" s="65" t="inlineStr">
        <is>
          <t>High</t>
        </is>
      </c>
      <c r="G19" s="65" t="inlineStr">
        <is>
          <t>Medium</t>
        </is>
      </c>
      <c r="H19" s="69">
        <f>IF(OR(F19="",G19=""),"",MATCH(F19,L_Prob,0)*MATCH(G19,L_Impact,0))</f>
        <v/>
      </c>
      <c r="I19" s="65">
        <f>IF(H19="","",IF(H19&lt;=2,"Low",IF(H19&lt;=5,"Medium",IF(H19&lt;=9,"High","Critical"))))</f>
        <v/>
      </c>
      <c r="J19" s="65" t="inlineStr">
        <is>
          <t>Priya Raman</t>
        </is>
      </c>
      <c r="K19" s="70" t="inlineStr">
        <is>
          <t>Weekly follow-up with provider</t>
        </is>
      </c>
      <c r="L19" s="70" t="inlineStr">
        <is>
          <t>Use manual payment interface initially</t>
        </is>
      </c>
      <c r="M19" s="66" t="n">
        <v>46313</v>
      </c>
      <c r="N19" s="65" t="inlineStr">
        <is>
          <t>Open</t>
        </is>
      </c>
      <c r="O19" s="65" t="inlineStr">
        <is>
          <t>Yes</t>
        </is>
      </c>
      <c r="P19" s="70" t="inlineStr"/>
      <c r="Q19" s="66" t="n">
        <v>46285</v>
      </c>
      <c r="R19" s="66" t="n"/>
      <c r="S19" s="69">
        <f>IF(OR(C19&lt;&gt;"Risk",N19="Closed",A19="",H19=""),"",COUNTIFS(C$5:C$34,"Risk",N$5:N$34,"&lt;&gt;Closed",H$5:H$34,"&gt;"&amp;H19)+COUNTIFS(C$5:C19,"Risk",N$5:N19,"&lt;&gt;Closed",H$5:H19,H19))</f>
        <v/>
      </c>
      <c r="T19" s="65">
        <f>IF(OR(A19="",H19=""),"",C19&amp;"|"&amp;B19&amp;"|"&amp;(COUNTIFS(C$5:C$34,C19,B$5:B$34,B19,H$5:H$34,"&gt;"&amp;H19)+1))</f>
        <v/>
      </c>
    </row>
    <row r="20" ht="28" customHeight="1">
      <c r="A20" s="65" t="inlineStr">
        <is>
          <t>DEP-002</t>
        </is>
      </c>
      <c r="B20" s="65" t="inlineStr">
        <is>
          <t>HR Management System</t>
        </is>
      </c>
      <c r="C20" s="65" t="inlineStr">
        <is>
          <t>Dependency</t>
        </is>
      </c>
      <c r="D20" s="70" t="inlineStr">
        <is>
          <t>Legal contract review required before signature</t>
        </is>
      </c>
      <c r="E20" s="65" t="inlineStr">
        <is>
          <t>Legal</t>
        </is>
      </c>
      <c r="F20" s="65" t="inlineStr">
        <is>
          <t>Medium</t>
        </is>
      </c>
      <c r="G20" s="65" t="inlineStr">
        <is>
          <t>High</t>
        </is>
      </c>
      <c r="H20" s="69">
        <f>IF(OR(F20="",G20=""),"",MATCH(F20,L_Prob,0)*MATCH(G20,L_Impact,0))</f>
        <v/>
      </c>
      <c r="I20" s="65">
        <f>IF(H20="","",IF(H20&lt;=2,"Low",IF(H20&lt;=5,"Medium",IF(H20&lt;=9,"High","Critical"))))</f>
        <v/>
      </c>
      <c r="J20" s="65" t="inlineStr">
        <is>
          <t>Grace Alemu</t>
        </is>
      </c>
      <c r="K20" s="70" t="inlineStr">
        <is>
          <t>Book legal review slot</t>
        </is>
      </c>
      <c r="L20" s="70" t="inlineStr">
        <is>
          <t>Conditional approval from legal</t>
        </is>
      </c>
      <c r="M20" s="66" t="n">
        <v>46327</v>
      </c>
      <c r="N20" s="65" t="inlineStr">
        <is>
          <t>Open</t>
        </is>
      </c>
      <c r="O20" s="65" t="inlineStr">
        <is>
          <t>No</t>
        </is>
      </c>
      <c r="P20" s="70" t="inlineStr"/>
      <c r="Q20" s="66" t="n">
        <v>46293</v>
      </c>
      <c r="R20" s="66" t="n"/>
      <c r="S20" s="69">
        <f>IF(OR(C20&lt;&gt;"Risk",N20="Closed",A20="",H20=""),"",COUNTIFS(C$5:C$34,"Risk",N$5:N$34,"&lt;&gt;Closed",H$5:H$34,"&gt;"&amp;H20)+COUNTIFS(C$5:C20,"Risk",N$5:N20,"&lt;&gt;Closed",H$5:H20,H20))</f>
        <v/>
      </c>
      <c r="T20" s="65">
        <f>IF(OR(A20="",H20=""),"",C20&amp;"|"&amp;B20&amp;"|"&amp;(COUNTIFS(C$5:C$34,C20,B$5:B$34,B20,H$5:H$34,"&gt;"&amp;H20)+1))</f>
        <v/>
      </c>
    </row>
    <row r="21" ht="28" customHeight="1">
      <c r="A21" s="65" t="n"/>
      <c r="B21" s="65" t="n"/>
      <c r="C21" s="65" t="n"/>
      <c r="D21" s="70" t="n"/>
      <c r="E21" s="65" t="n"/>
      <c r="F21" s="65" t="n"/>
      <c r="G21" s="65" t="n"/>
      <c r="H21" s="69">
        <f>IF(OR(F21="",G21=""),"",MATCH(F21,L_Prob,0)*MATCH(G21,L_Impact,0))</f>
        <v/>
      </c>
      <c r="I21" s="65">
        <f>IF(H21="","",IF(H21&lt;=2,"Low",IF(H21&lt;=5,"Medium",IF(H21&lt;=9,"High","Critical"))))</f>
        <v/>
      </c>
      <c r="J21" s="65" t="n"/>
      <c r="K21" s="70" t="n"/>
      <c r="L21" s="70" t="n"/>
      <c r="M21" s="66" t="n"/>
      <c r="N21" s="65" t="n"/>
      <c r="O21" s="65" t="n"/>
      <c r="P21" s="70" t="n"/>
      <c r="Q21" s="66" t="n"/>
      <c r="R21" s="66" t="n"/>
      <c r="S21" s="69">
        <f>IF(OR(C21&lt;&gt;"Risk",N21="Closed",A21="",H21=""),"",COUNTIFS(C$5:C$34,"Risk",N$5:N$34,"&lt;&gt;Closed",H$5:H$34,"&gt;"&amp;H21)+COUNTIFS(C$5:C21,"Risk",N$5:N21,"&lt;&gt;Closed",H$5:H21,H21))</f>
        <v/>
      </c>
      <c r="T21" s="65">
        <f>IF(OR(A21="",H21=""),"",C21&amp;"|"&amp;B21&amp;"|"&amp;(COUNTIFS(C$5:C$34,C21,B$5:B$34,B21,H$5:H$34,"&gt;"&amp;H21)+1))</f>
        <v/>
      </c>
    </row>
    <row r="22" ht="28" customHeight="1">
      <c r="A22" s="65" t="n"/>
      <c r="B22" s="65" t="n"/>
      <c r="C22" s="65" t="n"/>
      <c r="D22" s="70" t="n"/>
      <c r="E22" s="65" t="n"/>
      <c r="F22" s="65" t="n"/>
      <c r="G22" s="65" t="n"/>
      <c r="H22" s="69">
        <f>IF(OR(F22="",G22=""),"",MATCH(F22,L_Prob,0)*MATCH(G22,L_Impact,0))</f>
        <v/>
      </c>
      <c r="I22" s="65">
        <f>IF(H22="","",IF(H22&lt;=2,"Low",IF(H22&lt;=5,"Medium",IF(H22&lt;=9,"High","Critical"))))</f>
        <v/>
      </c>
      <c r="J22" s="65" t="n"/>
      <c r="K22" s="70" t="n"/>
      <c r="L22" s="70" t="n"/>
      <c r="M22" s="66" t="n"/>
      <c r="N22" s="65" t="n"/>
      <c r="O22" s="65" t="n"/>
      <c r="P22" s="70" t="n"/>
      <c r="Q22" s="66" t="n"/>
      <c r="R22" s="66" t="n"/>
      <c r="S22" s="69">
        <f>IF(OR(C22&lt;&gt;"Risk",N22="Closed",A22="",H22=""),"",COUNTIFS(C$5:C$34,"Risk",N$5:N$34,"&lt;&gt;Closed",H$5:H$34,"&gt;"&amp;H22)+COUNTIFS(C$5:C22,"Risk",N$5:N22,"&lt;&gt;Closed",H$5:H22,H22))</f>
        <v/>
      </c>
      <c r="T22" s="65">
        <f>IF(OR(A22="",H22=""),"",C22&amp;"|"&amp;B22&amp;"|"&amp;(COUNTIFS(C$5:C$34,C22,B$5:B$34,B22,H$5:H$34,"&gt;"&amp;H22)+1))</f>
        <v/>
      </c>
    </row>
    <row r="23" ht="28" customHeight="1">
      <c r="A23" s="65" t="n"/>
      <c r="B23" s="65" t="n"/>
      <c r="C23" s="65" t="n"/>
      <c r="D23" s="70" t="n"/>
      <c r="E23" s="65" t="n"/>
      <c r="F23" s="65" t="n"/>
      <c r="G23" s="65" t="n"/>
      <c r="H23" s="69">
        <f>IF(OR(F23="",G23=""),"",MATCH(F23,L_Prob,0)*MATCH(G23,L_Impact,0))</f>
        <v/>
      </c>
      <c r="I23" s="65">
        <f>IF(H23="","",IF(H23&lt;=2,"Low",IF(H23&lt;=5,"Medium",IF(H23&lt;=9,"High","Critical"))))</f>
        <v/>
      </c>
      <c r="J23" s="65" t="n"/>
      <c r="K23" s="70" t="n"/>
      <c r="L23" s="70" t="n"/>
      <c r="M23" s="66" t="n"/>
      <c r="N23" s="65" t="n"/>
      <c r="O23" s="65" t="n"/>
      <c r="P23" s="70" t="n"/>
      <c r="Q23" s="66" t="n"/>
      <c r="R23" s="66" t="n"/>
      <c r="S23" s="69">
        <f>IF(OR(C23&lt;&gt;"Risk",N23="Closed",A23="",H23=""),"",COUNTIFS(C$5:C$34,"Risk",N$5:N$34,"&lt;&gt;Closed",H$5:H$34,"&gt;"&amp;H23)+COUNTIFS(C$5:C23,"Risk",N$5:N23,"&lt;&gt;Closed",H$5:H23,H23))</f>
        <v/>
      </c>
      <c r="T23" s="65">
        <f>IF(OR(A23="",H23=""),"",C23&amp;"|"&amp;B23&amp;"|"&amp;(COUNTIFS(C$5:C$34,C23,B$5:B$34,B23,H$5:H$34,"&gt;"&amp;H23)+1))</f>
        <v/>
      </c>
    </row>
    <row r="24" ht="28" customHeight="1">
      <c r="A24" s="65" t="n"/>
      <c r="B24" s="65" t="n"/>
      <c r="C24" s="65" t="n"/>
      <c r="D24" s="70" t="n"/>
      <c r="E24" s="65" t="n"/>
      <c r="F24" s="65" t="n"/>
      <c r="G24" s="65" t="n"/>
      <c r="H24" s="69">
        <f>IF(OR(F24="",G24=""),"",MATCH(F24,L_Prob,0)*MATCH(G24,L_Impact,0))</f>
        <v/>
      </c>
      <c r="I24" s="65">
        <f>IF(H24="","",IF(H24&lt;=2,"Low",IF(H24&lt;=5,"Medium",IF(H24&lt;=9,"High","Critical"))))</f>
        <v/>
      </c>
      <c r="J24" s="65" t="n"/>
      <c r="K24" s="70" t="n"/>
      <c r="L24" s="70" t="n"/>
      <c r="M24" s="66" t="n"/>
      <c r="N24" s="65" t="n"/>
      <c r="O24" s="65" t="n"/>
      <c r="P24" s="70" t="n"/>
      <c r="Q24" s="66" t="n"/>
      <c r="R24" s="66" t="n"/>
      <c r="S24" s="69">
        <f>IF(OR(C24&lt;&gt;"Risk",N24="Closed",A24="",H24=""),"",COUNTIFS(C$5:C$34,"Risk",N$5:N$34,"&lt;&gt;Closed",H$5:H$34,"&gt;"&amp;H24)+COUNTIFS(C$5:C24,"Risk",N$5:N24,"&lt;&gt;Closed",H$5:H24,H24))</f>
        <v/>
      </c>
      <c r="T24" s="65">
        <f>IF(OR(A24="",H24=""),"",C24&amp;"|"&amp;B24&amp;"|"&amp;(COUNTIFS(C$5:C$34,C24,B$5:B$34,B24,H$5:H$34,"&gt;"&amp;H24)+1))</f>
        <v/>
      </c>
    </row>
    <row r="25" ht="28" customHeight="1">
      <c r="A25" s="65" t="n"/>
      <c r="B25" s="65" t="n"/>
      <c r="C25" s="65" t="n"/>
      <c r="D25" s="70" t="n"/>
      <c r="E25" s="65" t="n"/>
      <c r="F25" s="65" t="n"/>
      <c r="G25" s="65" t="n"/>
      <c r="H25" s="69">
        <f>IF(OR(F25="",G25=""),"",MATCH(F25,L_Prob,0)*MATCH(G25,L_Impact,0))</f>
        <v/>
      </c>
      <c r="I25" s="65">
        <f>IF(H25="","",IF(H25&lt;=2,"Low",IF(H25&lt;=5,"Medium",IF(H25&lt;=9,"High","Critical"))))</f>
        <v/>
      </c>
      <c r="J25" s="65" t="n"/>
      <c r="K25" s="70" t="n"/>
      <c r="L25" s="70" t="n"/>
      <c r="M25" s="66" t="n"/>
      <c r="N25" s="65" t="n"/>
      <c r="O25" s="65" t="n"/>
      <c r="P25" s="70" t="n"/>
      <c r="Q25" s="66" t="n"/>
      <c r="R25" s="66" t="n"/>
      <c r="S25" s="69">
        <f>IF(OR(C25&lt;&gt;"Risk",N25="Closed",A25="",H25=""),"",COUNTIFS(C$5:C$34,"Risk",N$5:N$34,"&lt;&gt;Closed",H$5:H$34,"&gt;"&amp;H25)+COUNTIFS(C$5:C25,"Risk",N$5:N25,"&lt;&gt;Closed",H$5:H25,H25))</f>
        <v/>
      </c>
      <c r="T25" s="65">
        <f>IF(OR(A25="",H25=""),"",C25&amp;"|"&amp;B25&amp;"|"&amp;(COUNTIFS(C$5:C$34,C25,B$5:B$34,B25,H$5:H$34,"&gt;"&amp;H25)+1))</f>
        <v/>
      </c>
    </row>
    <row r="26" ht="28" customHeight="1">
      <c r="A26" s="65" t="n"/>
      <c r="B26" s="65" t="n"/>
      <c r="C26" s="65" t="n"/>
      <c r="D26" s="70" t="n"/>
      <c r="E26" s="65" t="n"/>
      <c r="F26" s="65" t="n"/>
      <c r="G26" s="65" t="n"/>
      <c r="H26" s="69">
        <f>IF(OR(F26="",G26=""),"",MATCH(F26,L_Prob,0)*MATCH(G26,L_Impact,0))</f>
        <v/>
      </c>
      <c r="I26" s="65">
        <f>IF(H26="","",IF(H26&lt;=2,"Low",IF(H26&lt;=5,"Medium",IF(H26&lt;=9,"High","Critical"))))</f>
        <v/>
      </c>
      <c r="J26" s="65" t="n"/>
      <c r="K26" s="70" t="n"/>
      <c r="L26" s="70" t="n"/>
      <c r="M26" s="66" t="n"/>
      <c r="N26" s="65" t="n"/>
      <c r="O26" s="65" t="n"/>
      <c r="P26" s="70" t="n"/>
      <c r="Q26" s="66" t="n"/>
      <c r="R26" s="66" t="n"/>
      <c r="S26" s="69">
        <f>IF(OR(C26&lt;&gt;"Risk",N26="Closed",A26="",H26=""),"",COUNTIFS(C$5:C$34,"Risk",N$5:N$34,"&lt;&gt;Closed",H$5:H$34,"&gt;"&amp;H26)+COUNTIFS(C$5:C26,"Risk",N$5:N26,"&lt;&gt;Closed",H$5:H26,H26))</f>
        <v/>
      </c>
      <c r="T26" s="65">
        <f>IF(OR(A26="",H26=""),"",C26&amp;"|"&amp;B26&amp;"|"&amp;(COUNTIFS(C$5:C$34,C26,B$5:B$34,B26,H$5:H$34,"&gt;"&amp;H26)+1))</f>
        <v/>
      </c>
    </row>
    <row r="27" ht="28" customHeight="1">
      <c r="A27" s="65" t="n"/>
      <c r="B27" s="65" t="n"/>
      <c r="C27" s="65" t="n"/>
      <c r="D27" s="70" t="n"/>
      <c r="E27" s="65" t="n"/>
      <c r="F27" s="65" t="n"/>
      <c r="G27" s="65" t="n"/>
      <c r="H27" s="69">
        <f>IF(OR(F27="",G27=""),"",MATCH(F27,L_Prob,0)*MATCH(G27,L_Impact,0))</f>
        <v/>
      </c>
      <c r="I27" s="65">
        <f>IF(H27="","",IF(H27&lt;=2,"Low",IF(H27&lt;=5,"Medium",IF(H27&lt;=9,"High","Critical"))))</f>
        <v/>
      </c>
      <c r="J27" s="65" t="n"/>
      <c r="K27" s="70" t="n"/>
      <c r="L27" s="70" t="n"/>
      <c r="M27" s="66" t="n"/>
      <c r="N27" s="65" t="n"/>
      <c r="O27" s="65" t="n"/>
      <c r="P27" s="70" t="n"/>
      <c r="Q27" s="66" t="n"/>
      <c r="R27" s="66" t="n"/>
      <c r="S27" s="69">
        <f>IF(OR(C27&lt;&gt;"Risk",N27="Closed",A27="",H27=""),"",COUNTIFS(C$5:C$34,"Risk",N$5:N$34,"&lt;&gt;Closed",H$5:H$34,"&gt;"&amp;H27)+COUNTIFS(C$5:C27,"Risk",N$5:N27,"&lt;&gt;Closed",H$5:H27,H27))</f>
        <v/>
      </c>
      <c r="T27" s="65">
        <f>IF(OR(A27="",H27=""),"",C27&amp;"|"&amp;B27&amp;"|"&amp;(COUNTIFS(C$5:C$34,C27,B$5:B$34,B27,H$5:H$34,"&gt;"&amp;H27)+1))</f>
        <v/>
      </c>
    </row>
    <row r="28" ht="28" customHeight="1">
      <c r="A28" s="65" t="n"/>
      <c r="B28" s="65" t="n"/>
      <c r="C28" s="65" t="n"/>
      <c r="D28" s="70" t="n"/>
      <c r="E28" s="65" t="n"/>
      <c r="F28" s="65" t="n"/>
      <c r="G28" s="65" t="n"/>
      <c r="H28" s="69">
        <f>IF(OR(F28="",G28=""),"",MATCH(F28,L_Prob,0)*MATCH(G28,L_Impact,0))</f>
        <v/>
      </c>
      <c r="I28" s="65">
        <f>IF(H28="","",IF(H28&lt;=2,"Low",IF(H28&lt;=5,"Medium",IF(H28&lt;=9,"High","Critical"))))</f>
        <v/>
      </c>
      <c r="J28" s="65" t="n"/>
      <c r="K28" s="70" t="n"/>
      <c r="L28" s="70" t="n"/>
      <c r="M28" s="66" t="n"/>
      <c r="N28" s="65" t="n"/>
      <c r="O28" s="65" t="n"/>
      <c r="P28" s="70" t="n"/>
      <c r="Q28" s="66" t="n"/>
      <c r="R28" s="66" t="n"/>
      <c r="S28" s="69">
        <f>IF(OR(C28&lt;&gt;"Risk",N28="Closed",A28="",H28=""),"",COUNTIFS(C$5:C$34,"Risk",N$5:N$34,"&lt;&gt;Closed",H$5:H$34,"&gt;"&amp;H28)+COUNTIFS(C$5:C28,"Risk",N$5:N28,"&lt;&gt;Closed",H$5:H28,H28))</f>
        <v/>
      </c>
      <c r="T28" s="65">
        <f>IF(OR(A28="",H28=""),"",C28&amp;"|"&amp;B28&amp;"|"&amp;(COUNTIFS(C$5:C$34,C28,B$5:B$34,B28,H$5:H$34,"&gt;"&amp;H28)+1))</f>
        <v/>
      </c>
    </row>
    <row r="29" ht="28" customHeight="1">
      <c r="A29" s="65" t="n"/>
      <c r="B29" s="65" t="n"/>
      <c r="C29" s="65" t="n"/>
      <c r="D29" s="70" t="n"/>
      <c r="E29" s="65" t="n"/>
      <c r="F29" s="65" t="n"/>
      <c r="G29" s="65" t="n"/>
      <c r="H29" s="69">
        <f>IF(OR(F29="",G29=""),"",MATCH(F29,L_Prob,0)*MATCH(G29,L_Impact,0))</f>
        <v/>
      </c>
      <c r="I29" s="65">
        <f>IF(H29="","",IF(H29&lt;=2,"Low",IF(H29&lt;=5,"Medium",IF(H29&lt;=9,"High","Critical"))))</f>
        <v/>
      </c>
      <c r="J29" s="65" t="n"/>
      <c r="K29" s="70" t="n"/>
      <c r="L29" s="70" t="n"/>
      <c r="M29" s="66" t="n"/>
      <c r="N29" s="65" t="n"/>
      <c r="O29" s="65" t="n"/>
      <c r="P29" s="70" t="n"/>
      <c r="Q29" s="66" t="n"/>
      <c r="R29" s="66" t="n"/>
      <c r="S29" s="69">
        <f>IF(OR(C29&lt;&gt;"Risk",N29="Closed",A29="",H29=""),"",COUNTIFS(C$5:C$34,"Risk",N$5:N$34,"&lt;&gt;Closed",H$5:H$34,"&gt;"&amp;H29)+COUNTIFS(C$5:C29,"Risk",N$5:N29,"&lt;&gt;Closed",H$5:H29,H29))</f>
        <v/>
      </c>
      <c r="T29" s="65">
        <f>IF(OR(A29="",H29=""),"",C29&amp;"|"&amp;B29&amp;"|"&amp;(COUNTIFS(C$5:C$34,C29,B$5:B$34,B29,H$5:H$34,"&gt;"&amp;H29)+1))</f>
        <v/>
      </c>
    </row>
    <row r="30" ht="28" customHeight="1">
      <c r="A30" s="65" t="n"/>
      <c r="B30" s="65" t="n"/>
      <c r="C30" s="65" t="n"/>
      <c r="D30" s="70" t="n"/>
      <c r="E30" s="65" t="n"/>
      <c r="F30" s="65" t="n"/>
      <c r="G30" s="65" t="n"/>
      <c r="H30" s="69">
        <f>IF(OR(F30="",G30=""),"",MATCH(F30,L_Prob,0)*MATCH(G30,L_Impact,0))</f>
        <v/>
      </c>
      <c r="I30" s="65">
        <f>IF(H30="","",IF(H30&lt;=2,"Low",IF(H30&lt;=5,"Medium",IF(H30&lt;=9,"High","Critical"))))</f>
        <v/>
      </c>
      <c r="J30" s="65" t="n"/>
      <c r="K30" s="70" t="n"/>
      <c r="L30" s="70" t="n"/>
      <c r="M30" s="66" t="n"/>
      <c r="N30" s="65" t="n"/>
      <c r="O30" s="65" t="n"/>
      <c r="P30" s="70" t="n"/>
      <c r="Q30" s="66" t="n"/>
      <c r="R30" s="66" t="n"/>
      <c r="S30" s="69">
        <f>IF(OR(C30&lt;&gt;"Risk",N30="Closed",A30="",H30=""),"",COUNTIFS(C$5:C$34,"Risk",N$5:N$34,"&lt;&gt;Closed",H$5:H$34,"&gt;"&amp;H30)+COUNTIFS(C$5:C30,"Risk",N$5:N30,"&lt;&gt;Closed",H$5:H30,H30))</f>
        <v/>
      </c>
      <c r="T30" s="65">
        <f>IF(OR(A30="",H30=""),"",C30&amp;"|"&amp;B30&amp;"|"&amp;(COUNTIFS(C$5:C$34,C30,B$5:B$34,B30,H$5:H$34,"&gt;"&amp;H30)+1))</f>
        <v/>
      </c>
    </row>
    <row r="31" ht="28" customHeight="1">
      <c r="A31" s="65" t="n"/>
      <c r="B31" s="65" t="n"/>
      <c r="C31" s="65" t="n"/>
      <c r="D31" s="70" t="n"/>
      <c r="E31" s="65" t="n"/>
      <c r="F31" s="65" t="n"/>
      <c r="G31" s="65" t="n"/>
      <c r="H31" s="69">
        <f>IF(OR(F31="",G31=""),"",MATCH(F31,L_Prob,0)*MATCH(G31,L_Impact,0))</f>
        <v/>
      </c>
      <c r="I31" s="65">
        <f>IF(H31="","",IF(H31&lt;=2,"Low",IF(H31&lt;=5,"Medium",IF(H31&lt;=9,"High","Critical"))))</f>
        <v/>
      </c>
      <c r="J31" s="65" t="n"/>
      <c r="K31" s="70" t="n"/>
      <c r="L31" s="70" t="n"/>
      <c r="M31" s="66" t="n"/>
      <c r="N31" s="65" t="n"/>
      <c r="O31" s="65" t="n"/>
      <c r="P31" s="70" t="n"/>
      <c r="Q31" s="66" t="n"/>
      <c r="R31" s="66" t="n"/>
      <c r="S31" s="69">
        <f>IF(OR(C31&lt;&gt;"Risk",N31="Closed",A31="",H31=""),"",COUNTIFS(C$5:C$34,"Risk",N$5:N$34,"&lt;&gt;Closed",H$5:H$34,"&gt;"&amp;H31)+COUNTIFS(C$5:C31,"Risk",N$5:N31,"&lt;&gt;Closed",H$5:H31,H31))</f>
        <v/>
      </c>
      <c r="T31" s="65">
        <f>IF(OR(A31="",H31=""),"",C31&amp;"|"&amp;B31&amp;"|"&amp;(COUNTIFS(C$5:C$34,C31,B$5:B$34,B31,H$5:H$34,"&gt;"&amp;H31)+1))</f>
        <v/>
      </c>
    </row>
    <row r="32" ht="28" customHeight="1">
      <c r="A32" s="65" t="n"/>
      <c r="B32" s="65" t="n"/>
      <c r="C32" s="65" t="n"/>
      <c r="D32" s="70" t="n"/>
      <c r="E32" s="65" t="n"/>
      <c r="F32" s="65" t="n"/>
      <c r="G32" s="65" t="n"/>
      <c r="H32" s="69">
        <f>IF(OR(F32="",G32=""),"",MATCH(F32,L_Prob,0)*MATCH(G32,L_Impact,0))</f>
        <v/>
      </c>
      <c r="I32" s="65">
        <f>IF(H32="","",IF(H32&lt;=2,"Low",IF(H32&lt;=5,"Medium",IF(H32&lt;=9,"High","Critical"))))</f>
        <v/>
      </c>
      <c r="J32" s="65" t="n"/>
      <c r="K32" s="70" t="n"/>
      <c r="L32" s="70" t="n"/>
      <c r="M32" s="66" t="n"/>
      <c r="N32" s="65" t="n"/>
      <c r="O32" s="65" t="n"/>
      <c r="P32" s="70" t="n"/>
      <c r="Q32" s="66" t="n"/>
      <c r="R32" s="66" t="n"/>
      <c r="S32" s="69">
        <f>IF(OR(C32&lt;&gt;"Risk",N32="Closed",A32="",H32=""),"",COUNTIFS(C$5:C$34,"Risk",N$5:N$34,"&lt;&gt;Closed",H$5:H$34,"&gt;"&amp;H32)+COUNTIFS(C$5:C32,"Risk",N$5:N32,"&lt;&gt;Closed",H$5:H32,H32))</f>
        <v/>
      </c>
      <c r="T32" s="65">
        <f>IF(OR(A32="",H32=""),"",C32&amp;"|"&amp;B32&amp;"|"&amp;(COUNTIFS(C$5:C$34,C32,B$5:B$34,B32,H$5:H$34,"&gt;"&amp;H32)+1))</f>
        <v/>
      </c>
    </row>
    <row r="33" ht="28" customHeight="1">
      <c r="A33" s="65" t="n"/>
      <c r="B33" s="65" t="n"/>
      <c r="C33" s="65" t="n"/>
      <c r="D33" s="70" t="n"/>
      <c r="E33" s="65" t="n"/>
      <c r="F33" s="65" t="n"/>
      <c r="G33" s="65" t="n"/>
      <c r="H33" s="69">
        <f>IF(OR(F33="",G33=""),"",MATCH(F33,L_Prob,0)*MATCH(G33,L_Impact,0))</f>
        <v/>
      </c>
      <c r="I33" s="65">
        <f>IF(H33="","",IF(H33&lt;=2,"Low",IF(H33&lt;=5,"Medium",IF(H33&lt;=9,"High","Critical"))))</f>
        <v/>
      </c>
      <c r="J33" s="65" t="n"/>
      <c r="K33" s="70" t="n"/>
      <c r="L33" s="70" t="n"/>
      <c r="M33" s="66" t="n"/>
      <c r="N33" s="65" t="n"/>
      <c r="O33" s="65" t="n"/>
      <c r="P33" s="70" t="n"/>
      <c r="Q33" s="66" t="n"/>
      <c r="R33" s="66" t="n"/>
      <c r="S33" s="69">
        <f>IF(OR(C33&lt;&gt;"Risk",N33="Closed",A33="",H33=""),"",COUNTIFS(C$5:C$34,"Risk",N$5:N$34,"&lt;&gt;Closed",H$5:H$34,"&gt;"&amp;H33)+COUNTIFS(C$5:C33,"Risk",N$5:N33,"&lt;&gt;Closed",H$5:H33,H33))</f>
        <v/>
      </c>
      <c r="T33" s="65">
        <f>IF(OR(A33="",H33=""),"",C33&amp;"|"&amp;B33&amp;"|"&amp;(COUNTIFS(C$5:C$34,C33,B$5:B$34,B33,H$5:H$34,"&gt;"&amp;H33)+1))</f>
        <v/>
      </c>
    </row>
    <row r="34" ht="28" customHeight="1">
      <c r="A34" s="65" t="n"/>
      <c r="B34" s="65" t="n"/>
      <c r="C34" s="65" t="n"/>
      <c r="D34" s="70" t="n"/>
      <c r="E34" s="65" t="n"/>
      <c r="F34" s="65" t="n"/>
      <c r="G34" s="65" t="n"/>
      <c r="H34" s="69">
        <f>IF(OR(F34="",G34=""),"",MATCH(F34,L_Prob,0)*MATCH(G34,L_Impact,0))</f>
        <v/>
      </c>
      <c r="I34" s="65">
        <f>IF(H34="","",IF(H34&lt;=2,"Low",IF(H34&lt;=5,"Medium",IF(H34&lt;=9,"High","Critical"))))</f>
        <v/>
      </c>
      <c r="J34" s="65" t="n"/>
      <c r="K34" s="70" t="n"/>
      <c r="L34" s="70" t="n"/>
      <c r="M34" s="66" t="n"/>
      <c r="N34" s="65" t="n"/>
      <c r="O34" s="65" t="n"/>
      <c r="P34" s="70" t="n"/>
      <c r="Q34" s="66" t="n"/>
      <c r="R34" s="66" t="n"/>
      <c r="S34" s="69">
        <f>IF(OR(C34&lt;&gt;"Risk",N34="Closed",A34="",H34=""),"",COUNTIFS(C$5:C$34,"Risk",N$5:N$34,"&lt;&gt;Closed",H$5:H$34,"&gt;"&amp;H34)+COUNTIFS(C$5:C34,"Risk",N$5:N34,"&lt;&gt;Closed",H$5:H34,H34))</f>
        <v/>
      </c>
      <c r="T34" s="65">
        <f>IF(OR(A34="",H34=""),"",C34&amp;"|"&amp;B34&amp;"|"&amp;(COUNTIFS(C$5:C$34,C34,B$5:B$34,B34,H$5:H$34,"&gt;"&amp;H34)+1))</f>
        <v/>
      </c>
    </row>
  </sheetData>
  <mergeCells count="3">
    <mergeCell ref="A1:T1"/>
    <mergeCell ref="A3:T3"/>
    <mergeCell ref="A2:T2"/>
  </mergeCells>
  <conditionalFormatting sqref="I5:I34">
    <cfRule type="expression" priority="1" dxfId="3" stopIfTrue="1">
      <formula>EXACT($I5,"Low")</formula>
    </cfRule>
    <cfRule type="expression" priority="2" dxfId="4" stopIfTrue="1">
      <formula>EXACT($I5,"Medium")</formula>
    </cfRule>
    <cfRule type="expression" priority="3" dxfId="5" stopIfTrue="1">
      <formula>EXACT($I5,"High")</formula>
    </cfRule>
    <cfRule type="expression" priority="4" dxfId="13" stopIfTrue="1">
      <formula>EXACT($I5,"Critical")</formula>
    </cfRule>
  </conditionalFormatting>
  <conditionalFormatting sqref="N5:N34">
    <cfRule type="expression" priority="5" dxfId="4" stopIfTrue="1">
      <formula>EXACT($N5,"Open")</formula>
    </cfRule>
    <cfRule type="expression" priority="6" dxfId="8" stopIfTrue="1">
      <formula>EXACT($N5,"In Progress")</formula>
    </cfRule>
    <cfRule type="expression" priority="7" dxfId="3" stopIfTrue="1">
      <formula>EXACT($N5,"Closed")</formula>
    </cfRule>
  </conditionalFormatting>
  <conditionalFormatting sqref="H5:H34">
    <cfRule type="expression" priority="8" dxfId="5" stopIfTrue="0">
      <formula>AND(ISNUMBER($H5),$H5&gt;9)</formula>
    </cfRule>
  </conditionalFormatting>
  <conditionalFormatting sqref="M5:M34">
    <cfRule type="expression" priority="9" dxfId="5" stopIfTrue="0">
      <formula>AND($A5&lt;&gt;"",$M5&lt;&gt;"",$M5&lt;TODAY(),$N5&lt;&gt;"Closed")</formula>
    </cfRule>
    <cfRule type="expression" priority="12" dxfId="4" stopIfTrue="0">
      <formula>AND($A5&lt;&gt;"",M5="")</formula>
    </cfRule>
  </conditionalFormatting>
  <conditionalFormatting sqref="A5:A34">
    <cfRule type="expression" priority="10" dxfId="5" stopIfTrue="0">
      <formula>AND($A5&lt;&gt;"",COUNTIF($A$5:$A$34,$A5)&gt;1)</formula>
    </cfRule>
  </conditionalFormatting>
  <conditionalFormatting sqref="J5:J34">
    <cfRule type="expression" priority="11" dxfId="4" stopIfTrue="0">
      <formula>AND($A5&lt;&gt;"",J5="")</formula>
    </cfRule>
  </conditionalFormatting>
  <dataValidations count="8">
    <dataValidation sqref="B5:B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C5:C34" showDropDown="0" showInputMessage="1" showErrorMessage="1" allowBlank="1" errorTitle="Value not allowed" error="Pick a value from the drop-down list (L_RAIDType)." promptTitle="Select" prompt="Choose a value from the drop-down list." type="list" errorStyle="stop">
      <formula1>L_RAIDType</formula1>
    </dataValidation>
    <dataValidation sqref="E5:E34" showDropDown="0" showInputMessage="1" showErrorMessage="1" allowBlank="1" errorTitle="Value not allowed" error="Pick a value from the drop-down list (L_RAIDCategory)." promptTitle="Select" prompt="Choose a value from the drop-down list." type="list" errorStyle="stop">
      <formula1>L_RAIDCategory</formula1>
    </dataValidation>
    <dataValidation sqref="F5:F34" showDropDown="0" showInputMessage="1" showErrorMessage="1" allowBlank="1" errorTitle="Value not allowed" error="Pick a value from the drop-down list (L_Prob)." promptTitle="Select" prompt="Choose a value from the drop-down list." type="list" errorStyle="stop">
      <formula1>L_Prob</formula1>
    </dataValidation>
    <dataValidation sqref="G5:G34" showDropDown="0" showInputMessage="1" showErrorMessage="1" allowBlank="1" errorTitle="Value not allowed" error="Pick a value from the drop-down list (L_Impact)." promptTitle="Select" prompt="Choose a value from the drop-down list." type="list" errorStyle="stop">
      <formula1>L_Impact</formula1>
    </dataValidation>
    <dataValidation sqref="J5:J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N5:N34" showDropDown="0" showInputMessage="1" showErrorMessage="1" allowBlank="1" errorTitle="Value not allowed" error="Pick a value from the drop-down list (L_RAIDStatus)." promptTitle="Select" prompt="Choose a value from the drop-down list." type="list" errorStyle="stop">
      <formula1>L_RAIDStatus</formula1>
    </dataValidation>
    <dataValidation sqref="O5:O34" showDropDown="0" showInputMessage="1" showErrorMessage="1" allowBlank="1" errorTitle="Value not allowed" error="Pick a value from the drop-down list (L_YesNo)." promptTitle="Select" prompt="Choose a value from the drop-down list." type="list" errorStyle="stop">
      <formula1>L_YesNo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P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36" customWidth="1" min="4" max="4"/>
    <col width="16" customWidth="1" min="5" max="5"/>
    <col width="10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1" customWidth="1" min="12" max="12"/>
    <col width="14" customWidth="1" min="13" max="13"/>
    <col width="24" customWidth="1" min="14" max="14"/>
    <col width="12" customWidth="1" min="15" max="15"/>
    <col width="14" customWidth="1" min="16" max="16"/>
  </cols>
  <sheetData>
    <row r="1" ht="32" customHeight="1">
      <c r="A1" s="1" t="inlineStr">
        <is>
          <t>ACTION TRACKER</t>
        </is>
      </c>
    </row>
    <row r="2" ht="17" customHeight="1">
      <c r="A2" s="2" t="inlineStr">
        <is>
          <t>Every action from every meeting with one owner and one due date. Overdue = red, due within 3 days = amber, complete = green. Feeds the dashboard overdue KPI and charts.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Action ID</t>
        </is>
      </c>
      <c r="B4" s="64" t="inlineStr">
        <is>
          <t>Project</t>
        </is>
      </c>
      <c r="C4" s="64" t="inlineStr">
        <is>
          <t>Meeting / Source</t>
        </is>
      </c>
      <c r="D4" s="64" t="inlineStr">
        <is>
          <t>Action</t>
        </is>
      </c>
      <c r="E4" s="64" t="inlineStr">
        <is>
          <t>Owner</t>
        </is>
      </c>
      <c r="F4" s="64" t="inlineStr">
        <is>
          <t>Priority</t>
        </is>
      </c>
      <c r="G4" s="64" t="inlineStr">
        <is>
          <t>Date Opened</t>
        </is>
      </c>
      <c r="H4" s="64" t="inlineStr">
        <is>
          <t>Due Date</t>
        </is>
      </c>
      <c r="I4" s="64" t="inlineStr">
        <is>
          <t>Status</t>
        </is>
      </c>
      <c r="J4" s="64" t="inlineStr">
        <is>
          <t>Days Remaining</t>
        </is>
      </c>
      <c r="K4" s="64" t="inlineStr">
        <is>
          <t>Days Overdue</t>
        </is>
      </c>
      <c r="L4" s="64" t="inlineStr">
        <is>
          <t>Escalation</t>
        </is>
      </c>
      <c r="M4" s="64" t="inlineStr">
        <is>
          <t>Completion Date</t>
        </is>
      </c>
      <c r="N4" s="64" t="inlineStr">
        <is>
          <t>Notes</t>
        </is>
      </c>
      <c r="O4" s="64" t="inlineStr">
        <is>
          <t>OverdueRank</t>
        </is>
      </c>
      <c r="P4" s="64" t="inlineStr">
        <is>
          <t>ProjKey</t>
        </is>
      </c>
    </row>
    <row r="5" ht="28" customHeight="1">
      <c r="A5" s="65" t="inlineStr">
        <is>
          <t>ACT-001</t>
        </is>
      </c>
      <c r="B5" s="65" t="inlineStr">
        <is>
          <t>ERP Implementation</t>
        </is>
      </c>
      <c r="C5" s="65" t="inlineStr">
        <is>
          <t>Steering Committee 06-Oct</t>
        </is>
      </c>
      <c r="D5" s="70" t="inlineStr">
        <is>
          <t>Confirm UAT user list with business</t>
        </is>
      </c>
      <c r="E5" s="65" t="inlineStr">
        <is>
          <t>Maria Silva</t>
        </is>
      </c>
      <c r="F5" s="65" t="inlineStr">
        <is>
          <t>High</t>
        </is>
      </c>
      <c r="G5" s="66" t="n">
        <v>46301</v>
      </c>
      <c r="H5" s="66" t="n">
        <v>46301</v>
      </c>
      <c r="I5" s="65" t="inlineStr">
        <is>
          <t>Open</t>
        </is>
      </c>
      <c r="J5" s="69">
        <f>IF(OR(A5="",I5="Complete",H5=""),"",H5-TODAY())</f>
        <v/>
      </c>
      <c r="K5" s="69">
        <f>IF(OR(A5="",H5="",I5="Complete"),0,MAX(0,TODAY()-H5))</f>
        <v/>
      </c>
      <c r="L5" s="65" t="inlineStr">
        <is>
          <t>Yes</t>
        </is>
      </c>
      <c r="M5" s="66" t="n"/>
      <c r="N5" s="70" t="inlineStr">
        <is>
          <t>SAMPLE</t>
        </is>
      </c>
      <c r="O5" s="69">
        <f>IF(OR(A5="",I5="Complete",K5&lt;=0),"",COUNTIFS(I$5:I$34,"&lt;&gt;Complete",K$5:K$34,"&gt;"&amp;K5)+COUNTIFS(I$5:I5,"&lt;&gt;Complete",K$5:K5,K5))</f>
        <v/>
      </c>
      <c r="P5" s="65">
        <f>IF(OR(A5="",I5="Complete"),"",B5&amp;"|"&amp;(COUNTIFS(B$5:B$34,B5,I$5:I$34,"&lt;&gt;Complete",K$5:K$34,"&gt;"&amp;K5)+COUNTIFS(B$5:B5,B5,I$5:I5,"&lt;&gt;Complete",K$5:K5,K5)))</f>
        <v/>
      </c>
    </row>
    <row r="6" ht="28" customHeight="1">
      <c r="A6" s="65" t="inlineStr">
        <is>
          <t>ACT-002</t>
        </is>
      </c>
      <c r="B6" s="65" t="inlineStr">
        <is>
          <t>ERP Implementation</t>
        </is>
      </c>
      <c r="C6" s="65" t="inlineStr">
        <is>
          <t>PMO Review 01-Oct</t>
        </is>
      </c>
      <c r="D6" s="70" t="inlineStr">
        <is>
          <t>Chase vendor on module delivery dates</t>
        </is>
      </c>
      <c r="E6" s="65" t="inlineStr">
        <is>
          <t>Lisa Chen</t>
        </is>
      </c>
      <c r="F6" s="65" t="inlineStr">
        <is>
          <t>Critical</t>
        </is>
      </c>
      <c r="G6" s="66" t="n">
        <v>46296</v>
      </c>
      <c r="H6" s="66" t="n">
        <v>46300</v>
      </c>
      <c r="I6" s="65" t="inlineStr">
        <is>
          <t>Open</t>
        </is>
      </c>
      <c r="J6" s="69">
        <f>IF(OR(A6="",I6="Complete",H6=""),"",H6-TODAY())</f>
        <v/>
      </c>
      <c r="K6" s="69">
        <f>IF(OR(A6="",H6="",I6="Complete"),0,MAX(0,TODAY()-H6))</f>
        <v/>
      </c>
      <c r="L6" s="65" t="inlineStr">
        <is>
          <t>Yes</t>
        </is>
      </c>
      <c r="M6" s="66" t="n"/>
      <c r="N6" s="70" t="inlineStr">
        <is>
          <t>SAMPLE</t>
        </is>
      </c>
      <c r="O6" s="69">
        <f>IF(OR(A6="",I6="Complete",K6&lt;=0),"",COUNTIFS(I$5:I$34,"&lt;&gt;Complete",K$5:K$34,"&gt;"&amp;K6)+COUNTIFS(I$5:I6,"&lt;&gt;Complete",K$5:K6,K6))</f>
        <v/>
      </c>
      <c r="P6" s="65">
        <f>IF(OR(A6="",I6="Complete"),"",B6&amp;"|"&amp;(COUNTIFS(B$5:B$34,B6,I$5:I$34,"&lt;&gt;Complete",K$5:K$34,"&gt;"&amp;K6)+COUNTIFS(B$5:B6,B6,I$5:I6,"&lt;&gt;Complete",K$5:K6,K6)))</f>
        <v/>
      </c>
    </row>
    <row r="7" ht="28" customHeight="1">
      <c r="A7" s="65" t="inlineStr">
        <is>
          <t>ACT-003</t>
        </is>
      </c>
      <c r="B7" s="65" t="inlineStr">
        <is>
          <t>Network Infrastructure Upgrade</t>
        </is>
      </c>
      <c r="C7" s="65" t="inlineStr">
        <is>
          <t>Project Team 07-Oct</t>
        </is>
      </c>
      <c r="D7" s="70" t="inlineStr">
        <is>
          <t>Confirm site access schedule with facilities</t>
        </is>
      </c>
      <c r="E7" s="65" t="inlineStr">
        <is>
          <t>Tom Becker</t>
        </is>
      </c>
      <c r="F7" s="65" t="inlineStr">
        <is>
          <t>High</t>
        </is>
      </c>
      <c r="G7" s="66" t="n">
        <v>46302</v>
      </c>
      <c r="H7" s="66" t="n">
        <v>46304</v>
      </c>
      <c r="I7" s="65" t="inlineStr">
        <is>
          <t>In Progress</t>
        </is>
      </c>
      <c r="J7" s="69">
        <f>IF(OR(A7="",I7="Complete",H7=""),"",H7-TODAY())</f>
        <v/>
      </c>
      <c r="K7" s="69">
        <f>IF(OR(A7="",H7="",I7="Complete"),0,MAX(0,TODAY()-H7))</f>
        <v/>
      </c>
      <c r="L7" s="65" t="inlineStr">
        <is>
          <t>No</t>
        </is>
      </c>
      <c r="M7" s="66" t="n"/>
      <c r="N7" s="70" t="inlineStr">
        <is>
          <t>SAMPLE</t>
        </is>
      </c>
      <c r="O7" s="69">
        <f>IF(OR(A7="",I7="Complete",K7&lt;=0),"",COUNTIFS(I$5:I$34,"&lt;&gt;Complete",K$5:K$34,"&gt;"&amp;K7)+COUNTIFS(I$5:I7,"&lt;&gt;Complete",K$5:K7,K7))</f>
        <v/>
      </c>
      <c r="P7" s="65">
        <f>IF(OR(A7="",I7="Complete"),"",B7&amp;"|"&amp;(COUNTIFS(B$5:B$34,B7,I$5:I$34,"&lt;&gt;Complete",K$5:K$34,"&gt;"&amp;K7)+COUNTIFS(B$5:B7,B7,I$5:I7,"&lt;&gt;Complete",K$5:K7,K7)))</f>
        <v/>
      </c>
    </row>
    <row r="8" ht="28" customHeight="1">
      <c r="A8" s="65" t="inlineStr">
        <is>
          <t>ACT-004</t>
        </is>
      </c>
      <c r="B8" s="65" t="inlineStr">
        <is>
          <t>HR Management System</t>
        </is>
      </c>
      <c r="C8" s="65" t="inlineStr">
        <is>
          <t>Steering Committee 08-Oct</t>
        </is>
      </c>
      <c r="D8" s="70" t="inlineStr">
        <is>
          <t>Sign off vendor shortlist</t>
        </is>
      </c>
      <c r="E8" s="65" t="inlineStr">
        <is>
          <t>David Okoro</t>
        </is>
      </c>
      <c r="F8" s="65" t="inlineStr">
        <is>
          <t>High</t>
        </is>
      </c>
      <c r="G8" s="66" t="n">
        <v>46303</v>
      </c>
      <c r="H8" s="66" t="n">
        <v>46305</v>
      </c>
      <c r="I8" s="65" t="inlineStr">
        <is>
          <t>Open</t>
        </is>
      </c>
      <c r="J8" s="69">
        <f>IF(OR(A8="",I8="Complete",H8=""),"",H8-TODAY())</f>
        <v/>
      </c>
      <c r="K8" s="69">
        <f>IF(OR(A8="",H8="",I8="Complete"),0,MAX(0,TODAY()-H8))</f>
        <v/>
      </c>
      <c r="L8" s="65" t="inlineStr">
        <is>
          <t>No</t>
        </is>
      </c>
      <c r="M8" s="66" t="n"/>
      <c r="N8" s="70" t="inlineStr">
        <is>
          <t>SAMPLE</t>
        </is>
      </c>
      <c r="O8" s="69">
        <f>IF(OR(A8="",I8="Complete",K8&lt;=0),"",COUNTIFS(I$5:I$34,"&lt;&gt;Complete",K$5:K$34,"&gt;"&amp;K8)+COUNTIFS(I$5:I8,"&lt;&gt;Complete",K$5:K8,K8))</f>
        <v/>
      </c>
      <c r="P8" s="65">
        <f>IF(OR(A8="",I8="Complete"),"",B8&amp;"|"&amp;(COUNTIFS(B$5:B$34,B8,I$5:I$34,"&lt;&gt;Complete",K$5:K$34,"&gt;"&amp;K8)+COUNTIFS(B$5:B8,B8,I$5:I8,"&lt;&gt;Complete",K$5:K8,K8)))</f>
        <v/>
      </c>
    </row>
    <row r="9" ht="28" customHeight="1">
      <c r="A9" s="65" t="inlineStr">
        <is>
          <t>ACT-005</t>
        </is>
      </c>
      <c r="B9" s="65" t="inlineStr">
        <is>
          <t>ERP Implementation</t>
        </is>
      </c>
      <c r="C9" s="65" t="inlineStr">
        <is>
          <t>Sponsor Review 02-Oct</t>
        </is>
      </c>
      <c r="D9" s="70" t="inlineStr">
        <is>
          <t>Approve change request CR-001</t>
        </is>
      </c>
      <c r="E9" s="65" t="inlineStr">
        <is>
          <t>Ahmed Khan</t>
        </is>
      </c>
      <c r="F9" s="65" t="inlineStr">
        <is>
          <t>Critical</t>
        </is>
      </c>
      <c r="G9" s="66" t="n">
        <v>46297</v>
      </c>
      <c r="H9" s="66" t="n">
        <v>46302</v>
      </c>
      <c r="I9" s="65" t="inlineStr">
        <is>
          <t>Open</t>
        </is>
      </c>
      <c r="J9" s="69">
        <f>IF(OR(A9="",I9="Complete",H9=""),"",H9-TODAY())</f>
        <v/>
      </c>
      <c r="K9" s="69">
        <f>IF(OR(A9="",H9="",I9="Complete"),0,MAX(0,TODAY()-H9))</f>
        <v/>
      </c>
      <c r="L9" s="65" t="inlineStr">
        <is>
          <t>Yes</t>
        </is>
      </c>
      <c r="M9" s="66" t="n"/>
      <c r="N9" s="70" t="inlineStr">
        <is>
          <t>SAMPLE</t>
        </is>
      </c>
      <c r="O9" s="69">
        <f>IF(OR(A9="",I9="Complete",K9&lt;=0),"",COUNTIFS(I$5:I$34,"&lt;&gt;Complete",K$5:K$34,"&gt;"&amp;K9)+COUNTIFS(I$5:I9,"&lt;&gt;Complete",K$5:K9,K9))</f>
        <v/>
      </c>
      <c r="P9" s="65">
        <f>IF(OR(A9="",I9="Complete"),"",B9&amp;"|"&amp;(COUNTIFS(B$5:B$34,B9,I$5:I$34,"&lt;&gt;Complete",K$5:K$34,"&gt;"&amp;K9)+COUNTIFS(B$5:B9,B9,I$5:I9,"&lt;&gt;Complete",K$5:K9,K9)))</f>
        <v/>
      </c>
    </row>
    <row r="10" ht="28" customHeight="1">
      <c r="A10" s="65" t="inlineStr">
        <is>
          <t>ACT-006</t>
        </is>
      </c>
      <c r="B10" s="65" t="inlineStr">
        <is>
          <t>Website Development</t>
        </is>
      </c>
      <c r="C10" s="65" t="inlineStr">
        <is>
          <t>Project Team 05-Oct</t>
        </is>
      </c>
      <c r="D10" s="70" t="inlineStr">
        <is>
          <t>Restart kick-off once scope is frozen</t>
        </is>
      </c>
      <c r="E10" s="65" t="inlineStr">
        <is>
          <t>Maria Silva</t>
        </is>
      </c>
      <c r="F10" s="65" t="inlineStr">
        <is>
          <t>Medium</t>
        </is>
      </c>
      <c r="G10" s="66" t="n">
        <v>46300</v>
      </c>
      <c r="H10" s="66" t="n">
        <v>46312</v>
      </c>
      <c r="I10" s="65" t="inlineStr">
        <is>
          <t>Open</t>
        </is>
      </c>
      <c r="J10" s="69">
        <f>IF(OR(A10="",I10="Complete",H10=""),"",H10-TODAY())</f>
        <v/>
      </c>
      <c r="K10" s="69">
        <f>IF(OR(A10="",H10="",I10="Complete"),0,MAX(0,TODAY()-H10))</f>
        <v/>
      </c>
      <c r="L10" s="65" t="inlineStr">
        <is>
          <t>No</t>
        </is>
      </c>
      <c r="M10" s="66" t="n"/>
      <c r="N10" s="70" t="inlineStr">
        <is>
          <t>SAMPLE</t>
        </is>
      </c>
      <c r="O10" s="69">
        <f>IF(OR(A10="",I10="Complete",K10&lt;=0),"",COUNTIFS(I$5:I$34,"&lt;&gt;Complete",K$5:K$34,"&gt;"&amp;K10)+COUNTIFS(I$5:I10,"&lt;&gt;Complete",K$5:K10,K10))</f>
        <v/>
      </c>
      <c r="P10" s="65">
        <f>IF(OR(A10="",I10="Complete"),"",B10&amp;"|"&amp;(COUNTIFS(B$5:B$34,B10,I$5:I$34,"&lt;&gt;Complete",K$5:K$34,"&gt;"&amp;K10)+COUNTIFS(B$5:B10,B10,I$5:I10,"&lt;&gt;Complete",K$5:K10,K10)))</f>
        <v/>
      </c>
    </row>
    <row r="11" ht="28" customHeight="1">
      <c r="A11" s="65" t="inlineStr">
        <is>
          <t>ACT-007</t>
        </is>
      </c>
      <c r="B11" s="65" t="inlineStr">
        <is>
          <t>ERP Implementation</t>
        </is>
      </c>
      <c r="C11" s="65" t="inlineStr">
        <is>
          <t>PMO Review 06-Oct</t>
        </is>
      </c>
      <c r="D11" s="70" t="inlineStr">
        <is>
          <t>Update RAID with migration quality risk</t>
        </is>
      </c>
      <c r="E11" s="65" t="inlineStr">
        <is>
          <t>David Okoro</t>
        </is>
      </c>
      <c r="F11" s="65" t="inlineStr">
        <is>
          <t>Medium</t>
        </is>
      </c>
      <c r="G11" s="66" t="n">
        <v>46301</v>
      </c>
      <c r="H11" s="66" t="n">
        <v>46308</v>
      </c>
      <c r="I11" s="65" t="inlineStr">
        <is>
          <t>In Progress</t>
        </is>
      </c>
      <c r="J11" s="69">
        <f>IF(OR(A11="",I11="Complete",H11=""),"",H11-TODAY())</f>
        <v/>
      </c>
      <c r="K11" s="69">
        <f>IF(OR(A11="",H11="",I11="Complete"),0,MAX(0,TODAY()-H11))</f>
        <v/>
      </c>
      <c r="L11" s="65" t="inlineStr">
        <is>
          <t>No</t>
        </is>
      </c>
      <c r="M11" s="66" t="n"/>
      <c r="N11" s="70" t="inlineStr">
        <is>
          <t>SAMPLE</t>
        </is>
      </c>
      <c r="O11" s="69">
        <f>IF(OR(A11="",I11="Complete",K11&lt;=0),"",COUNTIFS(I$5:I$34,"&lt;&gt;Complete",K$5:K$34,"&gt;"&amp;K11)+COUNTIFS(I$5:I11,"&lt;&gt;Complete",K$5:K11,K11))</f>
        <v/>
      </c>
      <c r="P11" s="65">
        <f>IF(OR(A11="",I11="Complete"),"",B11&amp;"|"&amp;(COUNTIFS(B$5:B$34,B11,I$5:I$34,"&lt;&gt;Complete",K$5:K$34,"&gt;"&amp;K11)+COUNTIFS(B$5:B11,B11,I$5:I11,"&lt;&gt;Complete",K$5:K11,K11)))</f>
        <v/>
      </c>
    </row>
    <row r="12" ht="28" customHeight="1">
      <c r="A12" s="65" t="inlineStr">
        <is>
          <t>ACT-008</t>
        </is>
      </c>
      <c r="B12" s="65" t="inlineStr">
        <is>
          <t>ERP Implementation</t>
        </is>
      </c>
      <c r="C12" s="65" t="inlineStr">
        <is>
          <t>Weekly Team 30-Sep</t>
        </is>
      </c>
      <c r="D12" s="70" t="inlineStr">
        <is>
          <t>Publish September cost report</t>
        </is>
      </c>
      <c r="E12" s="65" t="inlineStr">
        <is>
          <t>Priya Raman</t>
        </is>
      </c>
      <c r="F12" s="65" t="inlineStr">
        <is>
          <t>Medium</t>
        </is>
      </c>
      <c r="G12" s="66" t="n">
        <v>46295</v>
      </c>
      <c r="H12" s="66" t="n">
        <v>46298</v>
      </c>
      <c r="I12" s="65" t="inlineStr">
        <is>
          <t>Open</t>
        </is>
      </c>
      <c r="J12" s="69">
        <f>IF(OR(A12="",I12="Complete",H12=""),"",H12-TODAY())</f>
        <v/>
      </c>
      <c r="K12" s="69">
        <f>IF(OR(A12="",H12="",I12="Complete"),0,MAX(0,TODAY()-H12))</f>
        <v/>
      </c>
      <c r="L12" s="65" t="inlineStr">
        <is>
          <t>Yes</t>
        </is>
      </c>
      <c r="M12" s="66" t="n"/>
      <c r="N12" s="70" t="inlineStr">
        <is>
          <t>SAMPLE</t>
        </is>
      </c>
      <c r="O12" s="69">
        <f>IF(OR(A12="",I12="Complete",K12&lt;=0),"",COUNTIFS(I$5:I$34,"&lt;&gt;Complete",K$5:K$34,"&gt;"&amp;K12)+COUNTIFS(I$5:I12,"&lt;&gt;Complete",K$5:K12,K12))</f>
        <v/>
      </c>
      <c r="P12" s="65">
        <f>IF(OR(A12="",I12="Complete"),"",B12&amp;"|"&amp;(COUNTIFS(B$5:B$34,B12,I$5:I$34,"&lt;&gt;Complete",K$5:K$34,"&gt;"&amp;K12)+COUNTIFS(B$5:B12,B12,I$5:I12,"&lt;&gt;Complete",K$5:K12,K12)))</f>
        <v/>
      </c>
    </row>
    <row r="13" ht="28" customHeight="1">
      <c r="A13" s="65" t="inlineStr">
        <is>
          <t>ACT-009</t>
        </is>
      </c>
      <c r="B13" s="65" t="inlineStr">
        <is>
          <t>ERP Implementation</t>
        </is>
      </c>
      <c r="C13" s="65" t="inlineStr">
        <is>
          <t>Project Team 08-Oct</t>
        </is>
      </c>
      <c r="D13" s="70" t="inlineStr">
        <is>
          <t>Book UAT training room and invites</t>
        </is>
      </c>
      <c r="E13" s="65" t="inlineStr">
        <is>
          <t>Maria Silva</t>
        </is>
      </c>
      <c r="F13" s="65" t="inlineStr">
        <is>
          <t>Low</t>
        </is>
      </c>
      <c r="G13" s="66" t="n">
        <v>46303</v>
      </c>
      <c r="H13" s="66" t="n">
        <v>46315</v>
      </c>
      <c r="I13" s="65" t="inlineStr">
        <is>
          <t>Open</t>
        </is>
      </c>
      <c r="J13" s="69">
        <f>IF(OR(A13="",I13="Complete",H13=""),"",H13-TODAY())</f>
        <v/>
      </c>
      <c r="K13" s="69">
        <f>IF(OR(A13="",H13="",I13="Complete"),0,MAX(0,TODAY()-H13))</f>
        <v/>
      </c>
      <c r="L13" s="65" t="inlineStr">
        <is>
          <t>No</t>
        </is>
      </c>
      <c r="M13" s="66" t="n"/>
      <c r="N13" s="70" t="inlineStr">
        <is>
          <t>SAMPLE</t>
        </is>
      </c>
      <c r="O13" s="69">
        <f>IF(OR(A13="",I13="Complete",K13&lt;=0),"",COUNTIFS(I$5:I$34,"&lt;&gt;Complete",K$5:K$34,"&gt;"&amp;K13)+COUNTIFS(I$5:I13,"&lt;&gt;Complete",K$5:K13,K13))</f>
        <v/>
      </c>
      <c r="P13" s="65">
        <f>IF(OR(A13="",I13="Complete"),"",B13&amp;"|"&amp;(COUNTIFS(B$5:B$34,B13,I$5:I$34,"&lt;&gt;Complete",K$5:K$34,"&gt;"&amp;K13)+COUNTIFS(B$5:B13,B13,I$5:I13,"&lt;&gt;Complete",K$5:K13,K13)))</f>
        <v/>
      </c>
    </row>
    <row r="14" ht="28" customHeight="1">
      <c r="A14" s="65" t="inlineStr">
        <is>
          <t>ACT-010</t>
        </is>
      </c>
      <c r="B14" s="65" t="inlineStr">
        <is>
          <t>Network Infrastructure Upgrade</t>
        </is>
      </c>
      <c r="C14" s="65" t="inlineStr">
        <is>
          <t>Project Team 28-Sep</t>
        </is>
      </c>
      <c r="D14" s="70" t="inlineStr">
        <is>
          <t>Deliver cabling quotation</t>
        </is>
      </c>
      <c r="E14" s="65" t="inlineStr">
        <is>
          <t>Lisa Chen</t>
        </is>
      </c>
      <c r="F14" s="65" t="inlineStr">
        <is>
          <t>High</t>
        </is>
      </c>
      <c r="G14" s="66" t="n">
        <v>46293</v>
      </c>
      <c r="H14" s="66" t="n">
        <v>46297</v>
      </c>
      <c r="I14" s="65" t="inlineStr">
        <is>
          <t>Complete</t>
        </is>
      </c>
      <c r="J14" s="69">
        <f>IF(OR(A14="",I14="Complete",H14=""),"",H14-TODAY())</f>
        <v/>
      </c>
      <c r="K14" s="69">
        <f>IF(OR(A14="",H14="",I14="Complete"),0,MAX(0,TODAY()-H14))</f>
        <v/>
      </c>
      <c r="L14" s="65" t="inlineStr">
        <is>
          <t>No</t>
        </is>
      </c>
      <c r="M14" s="66" t="n">
        <v>46296</v>
      </c>
      <c r="N14" s="70" t="inlineStr">
        <is>
          <t>SAMPLE</t>
        </is>
      </c>
      <c r="O14" s="69">
        <f>IF(OR(A14="",I14="Complete",K14&lt;=0),"",COUNTIFS(I$5:I$34,"&lt;&gt;Complete",K$5:K$34,"&gt;"&amp;K14)+COUNTIFS(I$5:I14,"&lt;&gt;Complete",K$5:K14,K14))</f>
        <v/>
      </c>
      <c r="P14" s="65">
        <f>IF(OR(A14="",I14="Complete"),"",B14&amp;"|"&amp;(COUNTIFS(B$5:B$34,B14,I$5:I$34,"&lt;&gt;Complete",K$5:K$34,"&gt;"&amp;K14)+COUNTIFS(B$5:B14,B14,I$5:I14,"&lt;&gt;Complete",K$5:K14,K14)))</f>
        <v/>
      </c>
    </row>
    <row r="15" ht="28" customHeight="1">
      <c r="A15" s="65" t="inlineStr">
        <is>
          <t>ACT-011</t>
        </is>
      </c>
      <c r="B15" s="65" t="inlineStr">
        <is>
          <t>HR Management System</t>
        </is>
      </c>
      <c r="C15" s="65" t="inlineStr">
        <is>
          <t>Sponsor Review 01-Oct</t>
        </is>
      </c>
      <c r="D15" s="70" t="inlineStr">
        <is>
          <t>Confirm approved amount with Finance</t>
        </is>
      </c>
      <c r="E15" s="65" t="inlineStr">
        <is>
          <t>David Okoro</t>
        </is>
      </c>
      <c r="F15" s="65" t="inlineStr">
        <is>
          <t>Critical</t>
        </is>
      </c>
      <c r="G15" s="66" t="n">
        <v>46296</v>
      </c>
      <c r="H15" s="66" t="n">
        <v>46310</v>
      </c>
      <c r="I15" s="65" t="inlineStr">
        <is>
          <t>Open</t>
        </is>
      </c>
      <c r="J15" s="69">
        <f>IF(OR(A15="",I15="Complete",H15=""),"",H15-TODAY())</f>
        <v/>
      </c>
      <c r="K15" s="69">
        <f>IF(OR(A15="",H15="",I15="Complete"),0,MAX(0,TODAY()-H15))</f>
        <v/>
      </c>
      <c r="L15" s="65" t="inlineStr">
        <is>
          <t>No</t>
        </is>
      </c>
      <c r="M15" s="66" t="n"/>
      <c r="N15" s="70" t="inlineStr">
        <is>
          <t>SAMPLE</t>
        </is>
      </c>
      <c r="O15" s="69">
        <f>IF(OR(A15="",I15="Complete",K15&lt;=0),"",COUNTIFS(I$5:I$34,"&lt;&gt;Complete",K$5:K$34,"&gt;"&amp;K15)+COUNTIFS(I$5:I15,"&lt;&gt;Complete",K$5:K15,K15))</f>
        <v/>
      </c>
      <c r="P15" s="65">
        <f>IF(OR(A15="",I15="Complete"),"",B15&amp;"|"&amp;(COUNTIFS(B$5:B$34,B15,I$5:I$34,"&lt;&gt;Complete",K$5:K$34,"&gt;"&amp;K15)+COUNTIFS(B$5:B15,B15,I$5:I15,"&lt;&gt;Complete",K$5:K15,K15)))</f>
        <v/>
      </c>
    </row>
    <row r="16" ht="28" customHeight="1">
      <c r="A16" s="65" t="inlineStr">
        <is>
          <t>ACT-012</t>
        </is>
      </c>
      <c r="B16" s="65" t="inlineStr">
        <is>
          <t>Office Security Upgrade</t>
        </is>
      </c>
      <c r="C16" s="65" t="inlineStr">
        <is>
          <t>Project Team 04-Oct</t>
        </is>
      </c>
      <c r="D16" s="70" t="inlineStr">
        <is>
          <t>Finalise vendor selection</t>
        </is>
      </c>
      <c r="E16" s="65" t="inlineStr">
        <is>
          <t>Lisa Chen</t>
        </is>
      </c>
      <c r="F16" s="65" t="inlineStr">
        <is>
          <t>High</t>
        </is>
      </c>
      <c r="G16" s="66" t="n">
        <v>46299</v>
      </c>
      <c r="H16" s="66" t="n">
        <v>46301</v>
      </c>
      <c r="I16" s="65" t="inlineStr">
        <is>
          <t>Open</t>
        </is>
      </c>
      <c r="J16" s="69">
        <f>IF(OR(A16="",I16="Complete",H16=""),"",H16-TODAY())</f>
        <v/>
      </c>
      <c r="K16" s="69">
        <f>IF(OR(A16="",H16="",I16="Complete"),0,MAX(0,TODAY()-H16))</f>
        <v/>
      </c>
      <c r="L16" s="65" t="inlineStr">
        <is>
          <t>No</t>
        </is>
      </c>
      <c r="M16" s="66" t="n"/>
      <c r="N16" s="70" t="inlineStr">
        <is>
          <t>SAMPLE</t>
        </is>
      </c>
      <c r="O16" s="69">
        <f>IF(OR(A16="",I16="Complete",K16&lt;=0),"",COUNTIFS(I$5:I$34,"&lt;&gt;Complete",K$5:K$34,"&gt;"&amp;K16)+COUNTIFS(I$5:I16,"&lt;&gt;Complete",K$5:K16,K16))</f>
        <v/>
      </c>
      <c r="P16" s="65">
        <f>IF(OR(A16="",I16="Complete"),"",B16&amp;"|"&amp;(COUNTIFS(B$5:B$34,B16,I$5:I$34,"&lt;&gt;Complete",K$5:K$34,"&gt;"&amp;K16)+COUNTIFS(B$5:B16,B16,I$5:I16,"&lt;&gt;Complete",K$5:K16,K16)))</f>
        <v/>
      </c>
    </row>
    <row r="17" ht="28" customHeight="1">
      <c r="A17" s="65" t="inlineStr">
        <is>
          <t>ACT-013</t>
        </is>
      </c>
      <c r="B17" s="65" t="inlineStr">
        <is>
          <t>ERP Implementation</t>
        </is>
      </c>
      <c r="C17" s="65" t="inlineStr">
        <is>
          <t>Project Team 25-Sep</t>
        </is>
      </c>
      <c r="D17" s="70" t="inlineStr">
        <is>
          <t>Archive approved design documents</t>
        </is>
      </c>
      <c r="E17" s="65" t="inlineStr">
        <is>
          <t>Priya Raman</t>
        </is>
      </c>
      <c r="F17" s="65" t="inlineStr">
        <is>
          <t>Low</t>
        </is>
      </c>
      <c r="G17" s="66" t="n">
        <v>46290</v>
      </c>
      <c r="H17" s="66" t="n">
        <v>46295</v>
      </c>
      <c r="I17" s="65" t="inlineStr">
        <is>
          <t>Complete</t>
        </is>
      </c>
      <c r="J17" s="69">
        <f>IF(OR(A17="",I17="Complete",H17=""),"",H17-TODAY())</f>
        <v/>
      </c>
      <c r="K17" s="69">
        <f>IF(OR(A17="",H17="",I17="Complete"),0,MAX(0,TODAY()-H17))</f>
        <v/>
      </c>
      <c r="L17" s="65" t="inlineStr">
        <is>
          <t>No</t>
        </is>
      </c>
      <c r="M17" s="66" t="n">
        <v>46295</v>
      </c>
      <c r="N17" s="70" t="inlineStr">
        <is>
          <t>SAMPLE</t>
        </is>
      </c>
      <c r="O17" s="69">
        <f>IF(OR(A17="",I17="Complete",K17&lt;=0),"",COUNTIFS(I$5:I$34,"&lt;&gt;Complete",K$5:K$34,"&gt;"&amp;K17)+COUNTIFS(I$5:I17,"&lt;&gt;Complete",K$5:K17,K17))</f>
        <v/>
      </c>
      <c r="P17" s="65">
        <f>IF(OR(A17="",I17="Complete"),"",B17&amp;"|"&amp;(COUNTIFS(B$5:B$34,B17,I$5:I$34,"&lt;&gt;Complete",K$5:K$34,"&gt;"&amp;K17)+COUNTIFS(B$5:B17,B17,I$5:I17,"&lt;&gt;Complete",K$5:K17,K17)))</f>
        <v/>
      </c>
    </row>
    <row r="18" ht="28" customHeight="1">
      <c r="A18" s="65" t="inlineStr">
        <is>
          <t>ACT-014</t>
        </is>
      </c>
      <c r="B18" s="65" t="inlineStr">
        <is>
          <t>Payroll Reporting Portal</t>
        </is>
      </c>
      <c r="C18" s="65" t="inlineStr">
        <is>
          <t>Closure Review 01-Oct</t>
        </is>
      </c>
      <c r="D18" s="70" t="inlineStr">
        <is>
          <t>Collect lessons learned from project team</t>
        </is>
      </c>
      <c r="E18" s="65" t="inlineStr">
        <is>
          <t>Priya Raman</t>
        </is>
      </c>
      <c r="F18" s="65" t="inlineStr">
        <is>
          <t>Medium</t>
        </is>
      </c>
      <c r="G18" s="66" t="n">
        <v>46296</v>
      </c>
      <c r="H18" s="66" t="n">
        <v>46304</v>
      </c>
      <c r="I18" s="65" t="inlineStr">
        <is>
          <t>Open</t>
        </is>
      </c>
      <c r="J18" s="69">
        <f>IF(OR(A18="",I18="Complete",H18=""),"",H18-TODAY())</f>
        <v/>
      </c>
      <c r="K18" s="69">
        <f>IF(OR(A18="",H18="",I18="Complete"),0,MAX(0,TODAY()-H18))</f>
        <v/>
      </c>
      <c r="L18" s="65" t="inlineStr">
        <is>
          <t>No</t>
        </is>
      </c>
      <c r="M18" s="66" t="n"/>
      <c r="N18" s="70" t="inlineStr">
        <is>
          <t>SAMPLE</t>
        </is>
      </c>
      <c r="O18" s="69">
        <f>IF(OR(A18="",I18="Complete",K18&lt;=0),"",COUNTIFS(I$5:I$34,"&lt;&gt;Complete",K$5:K$34,"&gt;"&amp;K18)+COUNTIFS(I$5:I18,"&lt;&gt;Complete",K$5:K18,K18))</f>
        <v/>
      </c>
      <c r="P18" s="65">
        <f>IF(OR(A18="",I18="Complete"),"",B18&amp;"|"&amp;(COUNTIFS(B$5:B$34,B18,I$5:I$34,"&lt;&gt;Complete",K$5:K$34,"&gt;"&amp;K18)+COUNTIFS(B$5:B18,B18,I$5:I18,"&lt;&gt;Complete",K$5:K18,K18)))</f>
        <v/>
      </c>
    </row>
    <row r="19" ht="28" customHeight="1">
      <c r="A19" s="65" t="n"/>
      <c r="B19" s="65" t="n"/>
      <c r="C19" s="65" t="n"/>
      <c r="D19" s="70" t="n"/>
      <c r="E19" s="65" t="n"/>
      <c r="F19" s="65" t="n"/>
      <c r="G19" s="66" t="n"/>
      <c r="H19" s="66" t="n"/>
      <c r="I19" s="65" t="n"/>
      <c r="J19" s="69">
        <f>IF(OR(A19="",I19="Complete",H19=""),"",H19-TODAY())</f>
        <v/>
      </c>
      <c r="K19" s="69">
        <f>IF(OR(A19="",H19="",I19="Complete"),0,MAX(0,TODAY()-H19))</f>
        <v/>
      </c>
      <c r="L19" s="65" t="n"/>
      <c r="M19" s="66" t="n"/>
      <c r="N19" s="70" t="n"/>
      <c r="O19" s="69">
        <f>IF(OR(A19="",I19="Complete",K19&lt;=0),"",COUNTIFS(I$5:I$34,"&lt;&gt;Complete",K$5:K$34,"&gt;"&amp;K19)+COUNTIFS(I$5:I19,"&lt;&gt;Complete",K$5:K19,K19))</f>
        <v/>
      </c>
      <c r="P19" s="65">
        <f>IF(OR(A19="",I19="Complete"),"",B19&amp;"|"&amp;(COUNTIFS(B$5:B$34,B19,I$5:I$34,"&lt;&gt;Complete",K$5:K$34,"&gt;"&amp;K19)+COUNTIFS(B$5:B19,B19,I$5:I19,"&lt;&gt;Complete",K$5:K19,K19)))</f>
        <v/>
      </c>
    </row>
    <row r="20" ht="28" customHeight="1">
      <c r="A20" s="65" t="n"/>
      <c r="B20" s="65" t="n"/>
      <c r="C20" s="65" t="n"/>
      <c r="D20" s="70" t="n"/>
      <c r="E20" s="65" t="n"/>
      <c r="F20" s="65" t="n"/>
      <c r="G20" s="66" t="n"/>
      <c r="H20" s="66" t="n"/>
      <c r="I20" s="65" t="n"/>
      <c r="J20" s="69">
        <f>IF(OR(A20="",I20="Complete",H20=""),"",H20-TODAY())</f>
        <v/>
      </c>
      <c r="K20" s="69">
        <f>IF(OR(A20="",H20="",I20="Complete"),0,MAX(0,TODAY()-H20))</f>
        <v/>
      </c>
      <c r="L20" s="65" t="n"/>
      <c r="M20" s="66" t="n"/>
      <c r="N20" s="70" t="n"/>
      <c r="O20" s="69">
        <f>IF(OR(A20="",I20="Complete",K20&lt;=0),"",COUNTIFS(I$5:I$34,"&lt;&gt;Complete",K$5:K$34,"&gt;"&amp;K20)+COUNTIFS(I$5:I20,"&lt;&gt;Complete",K$5:K20,K20))</f>
        <v/>
      </c>
      <c r="P20" s="65">
        <f>IF(OR(A20="",I20="Complete"),"",B20&amp;"|"&amp;(COUNTIFS(B$5:B$34,B20,I$5:I$34,"&lt;&gt;Complete",K$5:K$34,"&gt;"&amp;K20)+COUNTIFS(B$5:B20,B20,I$5:I20,"&lt;&gt;Complete",K$5:K20,K20)))</f>
        <v/>
      </c>
    </row>
    <row r="21" ht="28" customHeight="1">
      <c r="A21" s="65" t="n"/>
      <c r="B21" s="65" t="n"/>
      <c r="C21" s="65" t="n"/>
      <c r="D21" s="70" t="n"/>
      <c r="E21" s="65" t="n"/>
      <c r="F21" s="65" t="n"/>
      <c r="G21" s="66" t="n"/>
      <c r="H21" s="66" t="n"/>
      <c r="I21" s="65" t="n"/>
      <c r="J21" s="69">
        <f>IF(OR(A21="",I21="Complete",H21=""),"",H21-TODAY())</f>
        <v/>
      </c>
      <c r="K21" s="69">
        <f>IF(OR(A21="",H21="",I21="Complete"),0,MAX(0,TODAY()-H21))</f>
        <v/>
      </c>
      <c r="L21" s="65" t="n"/>
      <c r="M21" s="66" t="n"/>
      <c r="N21" s="70" t="n"/>
      <c r="O21" s="69">
        <f>IF(OR(A21="",I21="Complete",K21&lt;=0),"",COUNTIFS(I$5:I$34,"&lt;&gt;Complete",K$5:K$34,"&gt;"&amp;K21)+COUNTIFS(I$5:I21,"&lt;&gt;Complete",K$5:K21,K21))</f>
        <v/>
      </c>
      <c r="P21" s="65">
        <f>IF(OR(A21="",I21="Complete"),"",B21&amp;"|"&amp;(COUNTIFS(B$5:B$34,B21,I$5:I$34,"&lt;&gt;Complete",K$5:K$34,"&gt;"&amp;K21)+COUNTIFS(B$5:B21,B21,I$5:I21,"&lt;&gt;Complete",K$5:K21,K21)))</f>
        <v/>
      </c>
    </row>
    <row r="22" ht="28" customHeight="1">
      <c r="A22" s="65" t="n"/>
      <c r="B22" s="65" t="n"/>
      <c r="C22" s="65" t="n"/>
      <c r="D22" s="70" t="n"/>
      <c r="E22" s="65" t="n"/>
      <c r="F22" s="65" t="n"/>
      <c r="G22" s="66" t="n"/>
      <c r="H22" s="66" t="n"/>
      <c r="I22" s="65" t="n"/>
      <c r="J22" s="69">
        <f>IF(OR(A22="",I22="Complete",H22=""),"",H22-TODAY())</f>
        <v/>
      </c>
      <c r="K22" s="69">
        <f>IF(OR(A22="",H22="",I22="Complete"),0,MAX(0,TODAY()-H22))</f>
        <v/>
      </c>
      <c r="L22" s="65" t="n"/>
      <c r="M22" s="66" t="n"/>
      <c r="N22" s="70" t="n"/>
      <c r="O22" s="69">
        <f>IF(OR(A22="",I22="Complete",K22&lt;=0),"",COUNTIFS(I$5:I$34,"&lt;&gt;Complete",K$5:K$34,"&gt;"&amp;K22)+COUNTIFS(I$5:I22,"&lt;&gt;Complete",K$5:K22,K22))</f>
        <v/>
      </c>
      <c r="P22" s="65">
        <f>IF(OR(A22="",I22="Complete"),"",B22&amp;"|"&amp;(COUNTIFS(B$5:B$34,B22,I$5:I$34,"&lt;&gt;Complete",K$5:K$34,"&gt;"&amp;K22)+COUNTIFS(B$5:B22,B22,I$5:I22,"&lt;&gt;Complete",K$5:K22,K22)))</f>
        <v/>
      </c>
    </row>
    <row r="23" ht="28" customHeight="1">
      <c r="A23" s="65" t="n"/>
      <c r="B23" s="65" t="n"/>
      <c r="C23" s="65" t="n"/>
      <c r="D23" s="70" t="n"/>
      <c r="E23" s="65" t="n"/>
      <c r="F23" s="65" t="n"/>
      <c r="G23" s="66" t="n"/>
      <c r="H23" s="66" t="n"/>
      <c r="I23" s="65" t="n"/>
      <c r="J23" s="69">
        <f>IF(OR(A23="",I23="Complete",H23=""),"",H23-TODAY())</f>
        <v/>
      </c>
      <c r="K23" s="69">
        <f>IF(OR(A23="",H23="",I23="Complete"),0,MAX(0,TODAY()-H23))</f>
        <v/>
      </c>
      <c r="L23" s="65" t="n"/>
      <c r="M23" s="66" t="n"/>
      <c r="N23" s="70" t="n"/>
      <c r="O23" s="69">
        <f>IF(OR(A23="",I23="Complete",K23&lt;=0),"",COUNTIFS(I$5:I$34,"&lt;&gt;Complete",K$5:K$34,"&gt;"&amp;K23)+COUNTIFS(I$5:I23,"&lt;&gt;Complete",K$5:K23,K23))</f>
        <v/>
      </c>
      <c r="P23" s="65">
        <f>IF(OR(A23="",I23="Complete"),"",B23&amp;"|"&amp;(COUNTIFS(B$5:B$34,B23,I$5:I$34,"&lt;&gt;Complete",K$5:K$34,"&gt;"&amp;K23)+COUNTIFS(B$5:B23,B23,I$5:I23,"&lt;&gt;Complete",K$5:K23,K23)))</f>
        <v/>
      </c>
    </row>
    <row r="24" ht="28" customHeight="1">
      <c r="A24" s="65" t="n"/>
      <c r="B24" s="65" t="n"/>
      <c r="C24" s="65" t="n"/>
      <c r="D24" s="70" t="n"/>
      <c r="E24" s="65" t="n"/>
      <c r="F24" s="65" t="n"/>
      <c r="G24" s="66" t="n"/>
      <c r="H24" s="66" t="n"/>
      <c r="I24" s="65" t="n"/>
      <c r="J24" s="69">
        <f>IF(OR(A24="",I24="Complete",H24=""),"",H24-TODAY())</f>
        <v/>
      </c>
      <c r="K24" s="69">
        <f>IF(OR(A24="",H24="",I24="Complete"),0,MAX(0,TODAY()-H24))</f>
        <v/>
      </c>
      <c r="L24" s="65" t="n"/>
      <c r="M24" s="66" t="n"/>
      <c r="N24" s="70" t="n"/>
      <c r="O24" s="69">
        <f>IF(OR(A24="",I24="Complete",K24&lt;=0),"",COUNTIFS(I$5:I$34,"&lt;&gt;Complete",K$5:K$34,"&gt;"&amp;K24)+COUNTIFS(I$5:I24,"&lt;&gt;Complete",K$5:K24,K24))</f>
        <v/>
      </c>
      <c r="P24" s="65">
        <f>IF(OR(A24="",I24="Complete"),"",B24&amp;"|"&amp;(COUNTIFS(B$5:B$34,B24,I$5:I$34,"&lt;&gt;Complete",K$5:K$34,"&gt;"&amp;K24)+COUNTIFS(B$5:B24,B24,I$5:I24,"&lt;&gt;Complete",K$5:K24,K24)))</f>
        <v/>
      </c>
    </row>
    <row r="25" ht="28" customHeight="1">
      <c r="A25" s="65" t="n"/>
      <c r="B25" s="65" t="n"/>
      <c r="C25" s="65" t="n"/>
      <c r="D25" s="70" t="n"/>
      <c r="E25" s="65" t="n"/>
      <c r="F25" s="65" t="n"/>
      <c r="G25" s="66" t="n"/>
      <c r="H25" s="66" t="n"/>
      <c r="I25" s="65" t="n"/>
      <c r="J25" s="69">
        <f>IF(OR(A25="",I25="Complete",H25=""),"",H25-TODAY())</f>
        <v/>
      </c>
      <c r="K25" s="69">
        <f>IF(OR(A25="",H25="",I25="Complete"),0,MAX(0,TODAY()-H25))</f>
        <v/>
      </c>
      <c r="L25" s="65" t="n"/>
      <c r="M25" s="66" t="n"/>
      <c r="N25" s="70" t="n"/>
      <c r="O25" s="69">
        <f>IF(OR(A25="",I25="Complete",K25&lt;=0),"",COUNTIFS(I$5:I$34,"&lt;&gt;Complete",K$5:K$34,"&gt;"&amp;K25)+COUNTIFS(I$5:I25,"&lt;&gt;Complete",K$5:K25,K25))</f>
        <v/>
      </c>
      <c r="P25" s="65">
        <f>IF(OR(A25="",I25="Complete"),"",B25&amp;"|"&amp;(COUNTIFS(B$5:B$34,B25,I$5:I$34,"&lt;&gt;Complete",K$5:K$34,"&gt;"&amp;K25)+COUNTIFS(B$5:B25,B25,I$5:I25,"&lt;&gt;Complete",K$5:K25,K25)))</f>
        <v/>
      </c>
    </row>
    <row r="26" ht="28" customHeight="1">
      <c r="A26" s="65" t="n"/>
      <c r="B26" s="65" t="n"/>
      <c r="C26" s="65" t="n"/>
      <c r="D26" s="70" t="n"/>
      <c r="E26" s="65" t="n"/>
      <c r="F26" s="65" t="n"/>
      <c r="G26" s="66" t="n"/>
      <c r="H26" s="66" t="n"/>
      <c r="I26" s="65" t="n"/>
      <c r="J26" s="69">
        <f>IF(OR(A26="",I26="Complete",H26=""),"",H26-TODAY())</f>
        <v/>
      </c>
      <c r="K26" s="69">
        <f>IF(OR(A26="",H26="",I26="Complete"),0,MAX(0,TODAY()-H26))</f>
        <v/>
      </c>
      <c r="L26" s="65" t="n"/>
      <c r="M26" s="66" t="n"/>
      <c r="N26" s="70" t="n"/>
      <c r="O26" s="69">
        <f>IF(OR(A26="",I26="Complete",K26&lt;=0),"",COUNTIFS(I$5:I$34,"&lt;&gt;Complete",K$5:K$34,"&gt;"&amp;K26)+COUNTIFS(I$5:I26,"&lt;&gt;Complete",K$5:K26,K26))</f>
        <v/>
      </c>
      <c r="P26" s="65">
        <f>IF(OR(A26="",I26="Complete"),"",B26&amp;"|"&amp;(COUNTIFS(B$5:B$34,B26,I$5:I$34,"&lt;&gt;Complete",K$5:K$34,"&gt;"&amp;K26)+COUNTIFS(B$5:B26,B26,I$5:I26,"&lt;&gt;Complete",K$5:K26,K26)))</f>
        <v/>
      </c>
    </row>
    <row r="27" ht="28" customHeight="1">
      <c r="A27" s="65" t="n"/>
      <c r="B27" s="65" t="n"/>
      <c r="C27" s="65" t="n"/>
      <c r="D27" s="70" t="n"/>
      <c r="E27" s="65" t="n"/>
      <c r="F27" s="65" t="n"/>
      <c r="G27" s="66" t="n"/>
      <c r="H27" s="66" t="n"/>
      <c r="I27" s="65" t="n"/>
      <c r="J27" s="69">
        <f>IF(OR(A27="",I27="Complete",H27=""),"",H27-TODAY())</f>
        <v/>
      </c>
      <c r="K27" s="69">
        <f>IF(OR(A27="",H27="",I27="Complete"),0,MAX(0,TODAY()-H27))</f>
        <v/>
      </c>
      <c r="L27" s="65" t="n"/>
      <c r="M27" s="66" t="n"/>
      <c r="N27" s="70" t="n"/>
      <c r="O27" s="69">
        <f>IF(OR(A27="",I27="Complete",K27&lt;=0),"",COUNTIFS(I$5:I$34,"&lt;&gt;Complete",K$5:K$34,"&gt;"&amp;K27)+COUNTIFS(I$5:I27,"&lt;&gt;Complete",K$5:K27,K27))</f>
        <v/>
      </c>
      <c r="P27" s="65">
        <f>IF(OR(A27="",I27="Complete"),"",B27&amp;"|"&amp;(COUNTIFS(B$5:B$34,B27,I$5:I$34,"&lt;&gt;Complete",K$5:K$34,"&gt;"&amp;K27)+COUNTIFS(B$5:B27,B27,I$5:I27,"&lt;&gt;Complete",K$5:K27,K27)))</f>
        <v/>
      </c>
    </row>
    <row r="28" ht="28" customHeight="1">
      <c r="A28" s="65" t="n"/>
      <c r="B28" s="65" t="n"/>
      <c r="C28" s="65" t="n"/>
      <c r="D28" s="70" t="n"/>
      <c r="E28" s="65" t="n"/>
      <c r="F28" s="65" t="n"/>
      <c r="G28" s="66" t="n"/>
      <c r="H28" s="66" t="n"/>
      <c r="I28" s="65" t="n"/>
      <c r="J28" s="69">
        <f>IF(OR(A28="",I28="Complete",H28=""),"",H28-TODAY())</f>
        <v/>
      </c>
      <c r="K28" s="69">
        <f>IF(OR(A28="",H28="",I28="Complete"),0,MAX(0,TODAY()-H28))</f>
        <v/>
      </c>
      <c r="L28" s="65" t="n"/>
      <c r="M28" s="66" t="n"/>
      <c r="N28" s="70" t="n"/>
      <c r="O28" s="69">
        <f>IF(OR(A28="",I28="Complete",K28&lt;=0),"",COUNTIFS(I$5:I$34,"&lt;&gt;Complete",K$5:K$34,"&gt;"&amp;K28)+COUNTIFS(I$5:I28,"&lt;&gt;Complete",K$5:K28,K28))</f>
        <v/>
      </c>
      <c r="P28" s="65">
        <f>IF(OR(A28="",I28="Complete"),"",B28&amp;"|"&amp;(COUNTIFS(B$5:B$34,B28,I$5:I$34,"&lt;&gt;Complete",K$5:K$34,"&gt;"&amp;K28)+COUNTIFS(B$5:B28,B28,I$5:I28,"&lt;&gt;Complete",K$5:K28,K28)))</f>
        <v/>
      </c>
    </row>
    <row r="29" ht="28" customHeight="1">
      <c r="A29" s="65" t="n"/>
      <c r="B29" s="65" t="n"/>
      <c r="C29" s="65" t="n"/>
      <c r="D29" s="70" t="n"/>
      <c r="E29" s="65" t="n"/>
      <c r="F29" s="65" t="n"/>
      <c r="G29" s="66" t="n"/>
      <c r="H29" s="66" t="n"/>
      <c r="I29" s="65" t="n"/>
      <c r="J29" s="69">
        <f>IF(OR(A29="",I29="Complete",H29=""),"",H29-TODAY())</f>
        <v/>
      </c>
      <c r="K29" s="69">
        <f>IF(OR(A29="",H29="",I29="Complete"),0,MAX(0,TODAY()-H29))</f>
        <v/>
      </c>
      <c r="L29" s="65" t="n"/>
      <c r="M29" s="66" t="n"/>
      <c r="N29" s="70" t="n"/>
      <c r="O29" s="69">
        <f>IF(OR(A29="",I29="Complete",K29&lt;=0),"",COUNTIFS(I$5:I$34,"&lt;&gt;Complete",K$5:K$34,"&gt;"&amp;K29)+COUNTIFS(I$5:I29,"&lt;&gt;Complete",K$5:K29,K29))</f>
        <v/>
      </c>
      <c r="P29" s="65">
        <f>IF(OR(A29="",I29="Complete"),"",B29&amp;"|"&amp;(COUNTIFS(B$5:B$34,B29,I$5:I$34,"&lt;&gt;Complete",K$5:K$34,"&gt;"&amp;K29)+COUNTIFS(B$5:B29,B29,I$5:I29,"&lt;&gt;Complete",K$5:K29,K29)))</f>
        <v/>
      </c>
    </row>
    <row r="30" ht="28" customHeight="1">
      <c r="A30" s="65" t="n"/>
      <c r="B30" s="65" t="n"/>
      <c r="C30" s="65" t="n"/>
      <c r="D30" s="70" t="n"/>
      <c r="E30" s="65" t="n"/>
      <c r="F30" s="65" t="n"/>
      <c r="G30" s="66" t="n"/>
      <c r="H30" s="66" t="n"/>
      <c r="I30" s="65" t="n"/>
      <c r="J30" s="69">
        <f>IF(OR(A30="",I30="Complete",H30=""),"",H30-TODAY())</f>
        <v/>
      </c>
      <c r="K30" s="69">
        <f>IF(OR(A30="",H30="",I30="Complete"),0,MAX(0,TODAY()-H30))</f>
        <v/>
      </c>
      <c r="L30" s="65" t="n"/>
      <c r="M30" s="66" t="n"/>
      <c r="N30" s="70" t="n"/>
      <c r="O30" s="69">
        <f>IF(OR(A30="",I30="Complete",K30&lt;=0),"",COUNTIFS(I$5:I$34,"&lt;&gt;Complete",K$5:K$34,"&gt;"&amp;K30)+COUNTIFS(I$5:I30,"&lt;&gt;Complete",K$5:K30,K30))</f>
        <v/>
      </c>
      <c r="P30" s="65">
        <f>IF(OR(A30="",I30="Complete"),"",B30&amp;"|"&amp;(COUNTIFS(B$5:B$34,B30,I$5:I$34,"&lt;&gt;Complete",K$5:K$34,"&gt;"&amp;K30)+COUNTIFS(B$5:B30,B30,I$5:I30,"&lt;&gt;Complete",K$5:K30,K30)))</f>
        <v/>
      </c>
    </row>
    <row r="31" ht="28" customHeight="1">
      <c r="A31" s="65" t="n"/>
      <c r="B31" s="65" t="n"/>
      <c r="C31" s="65" t="n"/>
      <c r="D31" s="70" t="n"/>
      <c r="E31" s="65" t="n"/>
      <c r="F31" s="65" t="n"/>
      <c r="G31" s="66" t="n"/>
      <c r="H31" s="66" t="n"/>
      <c r="I31" s="65" t="n"/>
      <c r="J31" s="69">
        <f>IF(OR(A31="",I31="Complete",H31=""),"",H31-TODAY())</f>
        <v/>
      </c>
      <c r="K31" s="69">
        <f>IF(OR(A31="",H31="",I31="Complete"),0,MAX(0,TODAY()-H31))</f>
        <v/>
      </c>
      <c r="L31" s="65" t="n"/>
      <c r="M31" s="66" t="n"/>
      <c r="N31" s="70" t="n"/>
      <c r="O31" s="69">
        <f>IF(OR(A31="",I31="Complete",K31&lt;=0),"",COUNTIFS(I$5:I$34,"&lt;&gt;Complete",K$5:K$34,"&gt;"&amp;K31)+COUNTIFS(I$5:I31,"&lt;&gt;Complete",K$5:K31,K31))</f>
        <v/>
      </c>
      <c r="P31" s="65">
        <f>IF(OR(A31="",I31="Complete"),"",B31&amp;"|"&amp;(COUNTIFS(B$5:B$34,B31,I$5:I$34,"&lt;&gt;Complete",K$5:K$34,"&gt;"&amp;K31)+COUNTIFS(B$5:B31,B31,I$5:I31,"&lt;&gt;Complete",K$5:K31,K31)))</f>
        <v/>
      </c>
    </row>
    <row r="32" ht="28" customHeight="1">
      <c r="A32" s="65" t="n"/>
      <c r="B32" s="65" t="n"/>
      <c r="C32" s="65" t="n"/>
      <c r="D32" s="70" t="n"/>
      <c r="E32" s="65" t="n"/>
      <c r="F32" s="65" t="n"/>
      <c r="G32" s="66" t="n"/>
      <c r="H32" s="66" t="n"/>
      <c r="I32" s="65" t="n"/>
      <c r="J32" s="69">
        <f>IF(OR(A32="",I32="Complete",H32=""),"",H32-TODAY())</f>
        <v/>
      </c>
      <c r="K32" s="69">
        <f>IF(OR(A32="",H32="",I32="Complete"),0,MAX(0,TODAY()-H32))</f>
        <v/>
      </c>
      <c r="L32" s="65" t="n"/>
      <c r="M32" s="66" t="n"/>
      <c r="N32" s="70" t="n"/>
      <c r="O32" s="69">
        <f>IF(OR(A32="",I32="Complete",K32&lt;=0),"",COUNTIFS(I$5:I$34,"&lt;&gt;Complete",K$5:K$34,"&gt;"&amp;K32)+COUNTIFS(I$5:I32,"&lt;&gt;Complete",K$5:K32,K32))</f>
        <v/>
      </c>
      <c r="P32" s="65">
        <f>IF(OR(A32="",I32="Complete"),"",B32&amp;"|"&amp;(COUNTIFS(B$5:B$34,B32,I$5:I$34,"&lt;&gt;Complete",K$5:K$34,"&gt;"&amp;K32)+COUNTIFS(B$5:B32,B32,I$5:I32,"&lt;&gt;Complete",K$5:K32,K32)))</f>
        <v/>
      </c>
    </row>
    <row r="33" ht="28" customHeight="1">
      <c r="A33" s="65" t="n"/>
      <c r="B33" s="65" t="n"/>
      <c r="C33" s="65" t="n"/>
      <c r="D33" s="70" t="n"/>
      <c r="E33" s="65" t="n"/>
      <c r="F33" s="65" t="n"/>
      <c r="G33" s="66" t="n"/>
      <c r="H33" s="66" t="n"/>
      <c r="I33" s="65" t="n"/>
      <c r="J33" s="69">
        <f>IF(OR(A33="",I33="Complete",H33=""),"",H33-TODAY())</f>
        <v/>
      </c>
      <c r="K33" s="69">
        <f>IF(OR(A33="",H33="",I33="Complete"),0,MAX(0,TODAY()-H33))</f>
        <v/>
      </c>
      <c r="L33" s="65" t="n"/>
      <c r="M33" s="66" t="n"/>
      <c r="N33" s="70" t="n"/>
      <c r="O33" s="69">
        <f>IF(OR(A33="",I33="Complete",K33&lt;=0),"",COUNTIFS(I$5:I$34,"&lt;&gt;Complete",K$5:K$34,"&gt;"&amp;K33)+COUNTIFS(I$5:I33,"&lt;&gt;Complete",K$5:K33,K33))</f>
        <v/>
      </c>
      <c r="P33" s="65">
        <f>IF(OR(A33="",I33="Complete"),"",B33&amp;"|"&amp;(COUNTIFS(B$5:B$34,B33,I$5:I$34,"&lt;&gt;Complete",K$5:K$34,"&gt;"&amp;K33)+COUNTIFS(B$5:B33,B33,I$5:I33,"&lt;&gt;Complete",K$5:K33,K33)))</f>
        <v/>
      </c>
    </row>
    <row r="34" ht="28" customHeight="1">
      <c r="A34" s="65" t="n"/>
      <c r="B34" s="65" t="n"/>
      <c r="C34" s="65" t="n"/>
      <c r="D34" s="70" t="n"/>
      <c r="E34" s="65" t="n"/>
      <c r="F34" s="65" t="n"/>
      <c r="G34" s="66" t="n"/>
      <c r="H34" s="66" t="n"/>
      <c r="I34" s="65" t="n"/>
      <c r="J34" s="69">
        <f>IF(OR(A34="",I34="Complete",H34=""),"",H34-TODAY())</f>
        <v/>
      </c>
      <c r="K34" s="69">
        <f>IF(OR(A34="",H34="",I34="Complete"),0,MAX(0,TODAY()-H34))</f>
        <v/>
      </c>
      <c r="L34" s="65" t="n"/>
      <c r="M34" s="66" t="n"/>
      <c r="N34" s="70" t="n"/>
      <c r="O34" s="69">
        <f>IF(OR(A34="",I34="Complete",K34&lt;=0),"",COUNTIFS(I$5:I$34,"&lt;&gt;Complete",K$5:K$34,"&gt;"&amp;K34)+COUNTIFS(I$5:I34,"&lt;&gt;Complete",K$5:K34,K34))</f>
        <v/>
      </c>
      <c r="P34" s="65">
        <f>IF(OR(A34="",I34="Complete"),"",B34&amp;"|"&amp;(COUNTIFS(B$5:B$34,B34,I$5:I$34,"&lt;&gt;Complete",K$5:K$34,"&gt;"&amp;K34)+COUNTIFS(B$5:B34,B34,I$5:I34,"&lt;&gt;Complete",K$5:K34,K34)))</f>
        <v/>
      </c>
    </row>
  </sheetData>
  <mergeCells count="3">
    <mergeCell ref="A1:P1"/>
    <mergeCell ref="A3:P3"/>
    <mergeCell ref="A2:P2"/>
  </mergeCells>
  <conditionalFormatting sqref="I5:I34">
    <cfRule type="expression" priority="1" dxfId="8" stopIfTrue="1">
      <formula>EXACT($I5,"Open")</formula>
    </cfRule>
    <cfRule type="expression" priority="2" dxfId="4" stopIfTrue="1">
      <formula>EXACT($I5,"In Progress")</formula>
    </cfRule>
    <cfRule type="expression" priority="3" dxfId="3" stopIfTrue="1">
      <formula>EXACT($I5,"Complete")</formula>
    </cfRule>
    <cfRule type="expression" priority="4" dxfId="8" stopIfTrue="1">
      <formula>EXACT($I5,"Cancelled")</formula>
    </cfRule>
  </conditionalFormatting>
  <conditionalFormatting sqref="K5:K34">
    <cfRule type="expression" priority="5" dxfId="5" stopIfTrue="0">
      <formula>AND(ISNUMBER($K5),$K5&gt;0)</formula>
    </cfRule>
  </conditionalFormatting>
  <conditionalFormatting sqref="J5:N34">
    <cfRule type="expression" priority="6" dxfId="5" stopIfTrue="0">
      <formula>AND($A5&lt;&gt;"",$K5&gt;0,$I5&lt;&gt;"Complete")</formula>
    </cfRule>
  </conditionalFormatting>
  <conditionalFormatting sqref="J5:J34">
    <cfRule type="expression" priority="7" dxfId="4" stopIfTrue="0">
      <formula>AND(ISNUMBER($J5),$J5&gt;=0,$J5&lt;=3,$I5&lt;&gt;"Complete")</formula>
    </cfRule>
    <cfRule type="expression" priority="8" dxfId="5" stopIfTrue="0">
      <formula>AND(ISNUMBER($J5),$J5&lt;0,$I5&lt;&gt;"Complete")</formula>
    </cfRule>
  </conditionalFormatting>
  <conditionalFormatting sqref="A5:A34">
    <cfRule type="expression" priority="9" dxfId="5" stopIfTrue="0">
      <formula>AND($A5&lt;&gt;"",COUNTIF($A$5:$A$34,$A5)&gt;1)</formula>
    </cfRule>
  </conditionalFormatting>
  <conditionalFormatting sqref="E5:E34">
    <cfRule type="expression" priority="10" dxfId="4" stopIfTrue="0">
      <formula>AND($A5&lt;&gt;"",E5="")</formula>
    </cfRule>
  </conditionalFormatting>
  <conditionalFormatting sqref="H5:H34">
    <cfRule type="expression" priority="11" dxfId="4" stopIfTrue="0">
      <formula>AND($A5&lt;&gt;"",H5="")</formula>
    </cfRule>
  </conditionalFormatting>
  <dataValidations count="5">
    <dataValidation sqref="B5:B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E5:E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F5:F34" showDropDown="0" showInputMessage="1" showErrorMessage="1" allowBlank="1" errorTitle="Value not allowed" error="Pick a value from the drop-down list (L_Priority)." promptTitle="Select" prompt="Choose a value from the drop-down list." type="list" errorStyle="stop">
      <formula1>L_Priority</formula1>
    </dataValidation>
    <dataValidation sqref="I5:I34" showDropDown="0" showInputMessage="1" showErrorMessage="1" allowBlank="1" errorTitle="Value not allowed" error="Pick a value from the drop-down list (L_ActionStatus)." promptTitle="Select" prompt="Choose a value from the drop-down list." type="list" errorStyle="stop">
      <formula1>L_ActionStatus</formula1>
    </dataValidation>
    <dataValidation sqref="L5:L34" showDropDown="0" showInputMessage="1" showErrorMessage="1" allowBlank="1" errorTitle="Value not allowed" error="Pick a value from the drop-down list (L_YesNo)." promptTitle="Select" prompt="Choose a value from the drop-down list." type="list" errorStyle="stop">
      <formula1>L_YesNo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9" customWidth="1" min="12" max="12"/>
    <col width="24" customWidth="1" min="13" max="13"/>
    <col width="24" customWidth="1" min="14" max="14"/>
  </cols>
  <sheetData>
    <row r="1" ht="32" customHeight="1">
      <c r="A1" s="1" t="inlineStr">
        <is>
          <t>RACI MATRIX</t>
        </is>
      </c>
    </row>
    <row r="2" ht="17" customHeight="1">
      <c r="A2" s="2" t="inlineStr">
        <is>
          <t>Who is Responsible, Accountable, Consulted and Informed for each activity. Exactly one Accountable per row - the validation column flags any row that breaks the rule.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Activity / Deliverable</t>
        </is>
      </c>
      <c r="B4" s="64" t="inlineStr">
        <is>
          <t>Sponsor</t>
        </is>
      </c>
      <c r="C4" s="64" t="inlineStr">
        <is>
          <t>PMO</t>
        </is>
      </c>
      <c r="D4" s="64" t="inlineStr">
        <is>
          <t>Project Manager</t>
        </is>
      </c>
      <c r="E4" s="64" t="inlineStr">
        <is>
          <t>Business Owner</t>
        </is>
      </c>
      <c r="F4" s="64" t="inlineStr">
        <is>
          <t>IT Lead</t>
        </is>
      </c>
      <c r="G4" s="64" t="inlineStr">
        <is>
          <t>Developer</t>
        </is>
      </c>
      <c r="H4" s="64" t="inlineStr">
        <is>
          <t>Finance</t>
        </is>
      </c>
      <c r="I4" s="64" t="inlineStr">
        <is>
          <t>Procurement</t>
        </is>
      </c>
      <c r="J4" s="64" t="inlineStr">
        <is>
          <t>QA</t>
        </is>
      </c>
      <c r="K4" s="64" t="inlineStr">
        <is>
          <t>End Users</t>
        </is>
      </c>
      <c r="L4" s="64" t="inlineStr">
        <is>
          <t>A Count</t>
        </is>
      </c>
      <c r="M4" s="64" t="inlineStr">
        <is>
          <t>Validation</t>
        </is>
      </c>
      <c r="N4" s="64" t="inlineStr">
        <is>
          <t>Notes</t>
        </is>
      </c>
    </row>
    <row r="5" ht="28" customHeight="1">
      <c r="A5" s="65" t="inlineStr">
        <is>
          <t>Project charter approval</t>
        </is>
      </c>
      <c r="B5" s="65" t="inlineStr">
        <is>
          <t>A</t>
        </is>
      </c>
      <c r="C5" s="65" t="inlineStr">
        <is>
          <t>R</t>
        </is>
      </c>
      <c r="D5" s="65" t="inlineStr">
        <is>
          <t>C</t>
        </is>
      </c>
      <c r="E5" s="65" t="inlineStr">
        <is>
          <t>C</t>
        </is>
      </c>
      <c r="F5" s="65" t="inlineStr">
        <is>
          <t>I</t>
        </is>
      </c>
      <c r="G5" s="65" t="inlineStr">
        <is>
          <t>I</t>
        </is>
      </c>
      <c r="H5" s="65" t="inlineStr">
        <is>
          <t>C</t>
        </is>
      </c>
      <c r="I5" s="65" t="inlineStr">
        <is>
          <t>I</t>
        </is>
      </c>
      <c r="J5" s="65" t="inlineStr">
        <is>
          <t>I</t>
        </is>
      </c>
      <c r="K5" s="65" t="inlineStr">
        <is>
          <t>I</t>
        </is>
      </c>
      <c r="L5" s="69">
        <f>IF(A5="","",COUNTIF($A5:K5,"A"))</f>
        <v/>
      </c>
      <c r="M5" s="65">
        <f>IF(A5="","",IF(L5=1,"OK",IF(L5=0,"ERROR - NO ACCOUNTABLE","ERROR - MULTIPLE ACCOUNTABLE")))</f>
        <v/>
      </c>
      <c r="N5" s="70" t="inlineStr">
        <is>
          <t>SAMPLE</t>
        </is>
      </c>
    </row>
    <row r="6" ht="28" customHeight="1">
      <c r="A6" s="65" t="inlineStr">
        <is>
          <t>Requirements sign-off</t>
        </is>
      </c>
      <c r="B6" s="65" t="inlineStr">
        <is>
          <t>I</t>
        </is>
      </c>
      <c r="C6" s="65" t="inlineStr">
        <is>
          <t>C</t>
        </is>
      </c>
      <c r="D6" s="65" t="inlineStr">
        <is>
          <t>R</t>
        </is>
      </c>
      <c r="E6" s="65" t="inlineStr">
        <is>
          <t>A</t>
        </is>
      </c>
      <c r="F6" s="65" t="inlineStr">
        <is>
          <t>C</t>
        </is>
      </c>
      <c r="G6" s="65" t="inlineStr">
        <is>
          <t>I</t>
        </is>
      </c>
      <c r="H6" s="65" t="inlineStr">
        <is>
          <t>C</t>
        </is>
      </c>
      <c r="I6" s="65" t="inlineStr">
        <is>
          <t>I</t>
        </is>
      </c>
      <c r="J6" s="65" t="inlineStr">
        <is>
          <t>C</t>
        </is>
      </c>
      <c r="K6" s="65" t="inlineStr">
        <is>
          <t>C</t>
        </is>
      </c>
      <c r="L6" s="69">
        <f>IF(A6="","",COUNTIF($A6:K6,"A"))</f>
        <v/>
      </c>
      <c r="M6" s="65">
        <f>IF(A6="","",IF(L6=1,"OK",IF(L6=0,"ERROR - NO ACCOUNTABLE","ERROR - MULTIPLE ACCOUNTABLE")))</f>
        <v/>
      </c>
      <c r="N6" s="70" t="inlineStr">
        <is>
          <t>SAMPLE</t>
        </is>
      </c>
    </row>
    <row r="7" ht="28" customHeight="1">
      <c r="A7" s="65" t="inlineStr">
        <is>
          <t>Solution design</t>
        </is>
      </c>
      <c r="B7" s="65" t="inlineStr">
        <is>
          <t>I</t>
        </is>
      </c>
      <c r="C7" s="65" t="inlineStr">
        <is>
          <t>I</t>
        </is>
      </c>
      <c r="D7" s="65" t="inlineStr">
        <is>
          <t>A</t>
        </is>
      </c>
      <c r="E7" s="65" t="inlineStr">
        <is>
          <t>C</t>
        </is>
      </c>
      <c r="F7" s="65" t="inlineStr">
        <is>
          <t>R</t>
        </is>
      </c>
      <c r="G7" s="65" t="inlineStr">
        <is>
          <t>R</t>
        </is>
      </c>
      <c r="H7" s="65" t="inlineStr">
        <is>
          <t>I</t>
        </is>
      </c>
      <c r="I7" s="65" t="inlineStr">
        <is>
          <t>I</t>
        </is>
      </c>
      <c r="J7" s="65" t="inlineStr">
        <is>
          <t>C</t>
        </is>
      </c>
      <c r="K7" s="65" t="inlineStr">
        <is>
          <t>I</t>
        </is>
      </c>
      <c r="L7" s="69">
        <f>IF(A7="","",COUNTIF($A7:K7,"A"))</f>
        <v/>
      </c>
      <c r="M7" s="65">
        <f>IF(A7="","",IF(L7=1,"OK",IF(L7=0,"ERROR - NO ACCOUNTABLE","ERROR - MULTIPLE ACCOUNTABLE")))</f>
        <v/>
      </c>
      <c r="N7" s="70" t="inlineStr">
        <is>
          <t>SAMPLE</t>
        </is>
      </c>
    </row>
    <row r="8" ht="28" customHeight="1">
      <c r="A8" s="65" t="inlineStr">
        <is>
          <t>Development / configuration</t>
        </is>
      </c>
      <c r="B8" s="65" t="inlineStr">
        <is>
          <t>I</t>
        </is>
      </c>
      <c r="C8" s="65" t="inlineStr">
        <is>
          <t>I</t>
        </is>
      </c>
      <c r="D8" s="65" t="inlineStr">
        <is>
          <t>A</t>
        </is>
      </c>
      <c r="E8" s="65" t="inlineStr">
        <is>
          <t>I</t>
        </is>
      </c>
      <c r="F8" s="65" t="inlineStr">
        <is>
          <t>C</t>
        </is>
      </c>
      <c r="G8" s="65" t="inlineStr">
        <is>
          <t>R</t>
        </is>
      </c>
      <c r="H8" s="65" t="inlineStr">
        <is>
          <t>I</t>
        </is>
      </c>
      <c r="I8" s="65" t="inlineStr">
        <is>
          <t>I</t>
        </is>
      </c>
      <c r="J8" s="65" t="inlineStr">
        <is>
          <t>C</t>
        </is>
      </c>
      <c r="K8" s="65" t="inlineStr">
        <is>
          <t>I</t>
        </is>
      </c>
      <c r="L8" s="69">
        <f>IF(A8="","",COUNTIF($A8:K8,"A"))</f>
        <v/>
      </c>
      <c r="M8" s="65">
        <f>IF(A8="","",IF(L8=1,"OK",IF(L8=0,"ERROR - NO ACCOUNTABLE","ERROR - MULTIPLE ACCOUNTABLE")))</f>
        <v/>
      </c>
      <c r="N8" s="70" t="inlineStr">
        <is>
          <t>SAMPLE</t>
        </is>
      </c>
    </row>
    <row r="9" ht="28" customHeight="1">
      <c r="A9" s="65" t="inlineStr">
        <is>
          <t>Data migration</t>
        </is>
      </c>
      <c r="B9" s="65" t="inlineStr">
        <is>
          <t>I</t>
        </is>
      </c>
      <c r="C9" s="65" t="inlineStr">
        <is>
          <t>I</t>
        </is>
      </c>
      <c r="D9" s="65" t="inlineStr">
        <is>
          <t>A</t>
        </is>
      </c>
      <c r="E9" s="65" t="inlineStr">
        <is>
          <t>C</t>
        </is>
      </c>
      <c r="F9" s="65" t="inlineStr">
        <is>
          <t>R</t>
        </is>
      </c>
      <c r="G9" s="65" t="inlineStr">
        <is>
          <t>R</t>
        </is>
      </c>
      <c r="H9" s="65" t="inlineStr">
        <is>
          <t>C</t>
        </is>
      </c>
      <c r="I9" s="65" t="inlineStr">
        <is>
          <t>I</t>
        </is>
      </c>
      <c r="J9" s="65" t="inlineStr">
        <is>
          <t>C</t>
        </is>
      </c>
      <c r="K9" s="65" t="inlineStr">
        <is>
          <t>I</t>
        </is>
      </c>
      <c r="L9" s="69">
        <f>IF(A9="","",COUNTIF($A9:K9,"A"))</f>
        <v/>
      </c>
      <c r="M9" s="65">
        <f>IF(A9="","",IF(L9=1,"OK",IF(L9=0,"ERROR - NO ACCOUNTABLE","ERROR - MULTIPLE ACCOUNTABLE")))</f>
        <v/>
      </c>
      <c r="N9" s="70" t="inlineStr">
        <is>
          <t>SAMPLE</t>
        </is>
      </c>
    </row>
    <row r="10" ht="28" customHeight="1">
      <c r="A10" s="65" t="inlineStr">
        <is>
          <t>Testing and UAT</t>
        </is>
      </c>
      <c r="B10" s="65" t="inlineStr">
        <is>
          <t>I</t>
        </is>
      </c>
      <c r="C10" s="65" t="inlineStr">
        <is>
          <t>I</t>
        </is>
      </c>
      <c r="D10" s="65" t="inlineStr">
        <is>
          <t>C</t>
        </is>
      </c>
      <c r="E10" s="65" t="inlineStr">
        <is>
          <t>R</t>
        </is>
      </c>
      <c r="F10" s="65" t="inlineStr">
        <is>
          <t>C</t>
        </is>
      </c>
      <c r="G10" s="65" t="inlineStr">
        <is>
          <t>R</t>
        </is>
      </c>
      <c r="H10" s="65" t="inlineStr">
        <is>
          <t>I</t>
        </is>
      </c>
      <c r="I10" s="65" t="inlineStr">
        <is>
          <t>I</t>
        </is>
      </c>
      <c r="J10" s="65" t="inlineStr">
        <is>
          <t>A</t>
        </is>
      </c>
      <c r="K10" s="65" t="inlineStr">
        <is>
          <t>R</t>
        </is>
      </c>
      <c r="L10" s="69">
        <f>IF(A10="","",COUNTIF($A10:K10,"A"))</f>
        <v/>
      </c>
      <c r="M10" s="65">
        <f>IF(A10="","",IF(L10=1,"OK",IF(L10=0,"ERROR - NO ACCOUNTABLE","ERROR - MULTIPLE ACCOUNTABLE")))</f>
        <v/>
      </c>
      <c r="N10" s="70" t="inlineStr">
        <is>
          <t>SAMPLE</t>
        </is>
      </c>
    </row>
    <row r="11" ht="28" customHeight="1">
      <c r="A11" s="65" t="inlineStr">
        <is>
          <t>Go-live approval</t>
        </is>
      </c>
      <c r="B11" s="65" t="inlineStr">
        <is>
          <t>A</t>
        </is>
      </c>
      <c r="C11" s="65" t="inlineStr">
        <is>
          <t>I</t>
        </is>
      </c>
      <c r="D11" s="65" t="inlineStr">
        <is>
          <t>R</t>
        </is>
      </c>
      <c r="E11" s="65" t="inlineStr">
        <is>
          <t>C</t>
        </is>
      </c>
      <c r="F11" s="65" t="inlineStr">
        <is>
          <t>C</t>
        </is>
      </c>
      <c r="G11" s="65" t="inlineStr">
        <is>
          <t>I</t>
        </is>
      </c>
      <c r="H11" s="65" t="inlineStr">
        <is>
          <t>C</t>
        </is>
      </c>
      <c r="I11" s="65" t="inlineStr">
        <is>
          <t>I</t>
        </is>
      </c>
      <c r="J11" s="65" t="inlineStr">
        <is>
          <t>C</t>
        </is>
      </c>
      <c r="K11" s="65" t="inlineStr">
        <is>
          <t>I</t>
        </is>
      </c>
      <c r="L11" s="69">
        <f>IF(A11="","",COUNTIF($A11:K11,"A"))</f>
        <v/>
      </c>
      <c r="M11" s="65">
        <f>IF(A11="","",IF(L11=1,"OK",IF(L11=0,"ERROR - NO ACCOUNTABLE","ERROR - MULTIPLE ACCOUNTABLE")))</f>
        <v/>
      </c>
      <c r="N11" s="70" t="inlineStr">
        <is>
          <t>SAMPLE</t>
        </is>
      </c>
    </row>
    <row r="12" ht="28" customHeight="1">
      <c r="A12" s="65" t="inlineStr">
        <is>
          <t>Budget approval</t>
        </is>
      </c>
      <c r="B12" s="65" t="inlineStr">
        <is>
          <t>C</t>
        </is>
      </c>
      <c r="C12" s="65" t="inlineStr">
        <is>
          <t>I</t>
        </is>
      </c>
      <c r="D12" s="65" t="inlineStr">
        <is>
          <t>R</t>
        </is>
      </c>
      <c r="E12" s="65" t="inlineStr">
        <is>
          <t>I</t>
        </is>
      </c>
      <c r="F12" s="65" t="inlineStr">
        <is>
          <t>I</t>
        </is>
      </c>
      <c r="G12" s="65" t="inlineStr">
        <is>
          <t>I</t>
        </is>
      </c>
      <c r="H12" s="65" t="inlineStr">
        <is>
          <t>A</t>
        </is>
      </c>
      <c r="I12" s="65" t="inlineStr">
        <is>
          <t>I</t>
        </is>
      </c>
      <c r="J12" s="65" t="inlineStr">
        <is>
          <t>I</t>
        </is>
      </c>
      <c r="K12" s="65" t="inlineStr">
        <is>
          <t>I</t>
        </is>
      </c>
      <c r="L12" s="69">
        <f>IF(A12="","",COUNTIF($A12:K12,"A"))</f>
        <v/>
      </c>
      <c r="M12" s="65">
        <f>IF(A12="","",IF(L12=1,"OK",IF(L12=0,"ERROR - NO ACCOUNTABLE","ERROR - MULTIPLE ACCOUNTABLE")))</f>
        <v/>
      </c>
      <c r="N12" s="70" t="inlineStr">
        <is>
          <t>SAMPLE</t>
        </is>
      </c>
    </row>
    <row r="13" ht="28" customHeight="1">
      <c r="A13" s="65" t="inlineStr">
        <is>
          <t>Vendor selection</t>
        </is>
      </c>
      <c r="B13" s="65" t="inlineStr">
        <is>
          <t>I</t>
        </is>
      </c>
      <c r="C13" s="65" t="inlineStr">
        <is>
          <t>I</t>
        </is>
      </c>
      <c r="D13" s="65" t="inlineStr">
        <is>
          <t>R</t>
        </is>
      </c>
      <c r="E13" s="65" t="inlineStr">
        <is>
          <t>I</t>
        </is>
      </c>
      <c r="F13" s="65" t="inlineStr">
        <is>
          <t>C</t>
        </is>
      </c>
      <c r="G13" s="65" t="inlineStr">
        <is>
          <t>I</t>
        </is>
      </c>
      <c r="H13" s="65" t="inlineStr">
        <is>
          <t>C</t>
        </is>
      </c>
      <c r="I13" s="65" t="inlineStr">
        <is>
          <t>A</t>
        </is>
      </c>
      <c r="J13" s="65" t="inlineStr">
        <is>
          <t>C</t>
        </is>
      </c>
      <c r="K13" s="65" t="inlineStr">
        <is>
          <t>I</t>
        </is>
      </c>
      <c r="L13" s="69">
        <f>IF(A13="","",COUNTIF($A13:K13,"A"))</f>
        <v/>
      </c>
      <c r="M13" s="65">
        <f>IF(A13="","",IF(L13=1,"OK",IF(L13=0,"ERROR - NO ACCOUNTABLE","ERROR - MULTIPLE ACCOUNTABLE")))</f>
        <v/>
      </c>
      <c r="N13" s="70" t="inlineStr">
        <is>
          <t>SAMPLE</t>
        </is>
      </c>
    </row>
    <row r="14" ht="28" customHeight="1">
      <c r="A14" s="65" t="inlineStr">
        <is>
          <t>Lessons learned</t>
        </is>
      </c>
      <c r="B14" s="65" t="inlineStr">
        <is>
          <t>I</t>
        </is>
      </c>
      <c r="C14" s="65" t="inlineStr">
        <is>
          <t>A</t>
        </is>
      </c>
      <c r="D14" s="65" t="inlineStr">
        <is>
          <t>R</t>
        </is>
      </c>
      <c r="E14" s="65" t="inlineStr">
        <is>
          <t>C</t>
        </is>
      </c>
      <c r="F14" s="65" t="inlineStr">
        <is>
          <t>C</t>
        </is>
      </c>
      <c r="G14" s="65" t="inlineStr">
        <is>
          <t>I</t>
        </is>
      </c>
      <c r="H14" s="65" t="inlineStr">
        <is>
          <t>I</t>
        </is>
      </c>
      <c r="I14" s="65" t="inlineStr">
        <is>
          <t>I</t>
        </is>
      </c>
      <c r="J14" s="65" t="inlineStr">
        <is>
          <t>C</t>
        </is>
      </c>
      <c r="K14" s="65" t="inlineStr">
        <is>
          <t>C</t>
        </is>
      </c>
      <c r="L14" s="69">
        <f>IF(A14="","",COUNTIF($A14:K14,"A"))</f>
        <v/>
      </c>
      <c r="M14" s="65">
        <f>IF(A14="","",IF(L14=1,"OK",IF(L14=0,"ERROR - NO ACCOUNTABLE","ERROR - MULTIPLE ACCOUNTABLE")))</f>
        <v/>
      </c>
      <c r="N14" s="70" t="inlineStr">
        <is>
          <t>SAMPLE</t>
        </is>
      </c>
    </row>
    <row r="15" ht="28" customHeight="1">
      <c r="A15" s="65" t="n"/>
      <c r="B15" s="65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65" t="n"/>
      <c r="L15" s="69">
        <f>IF(A15="","",COUNTIF($A15:K15,"A"))</f>
        <v/>
      </c>
      <c r="M15" s="65">
        <f>IF(A15="","",IF(L15=1,"OK",IF(L15=0,"ERROR - NO ACCOUNTABLE","ERROR - MULTIPLE ACCOUNTABLE")))</f>
        <v/>
      </c>
      <c r="N15" s="70" t="n"/>
    </row>
    <row r="16" ht="28" customHeight="1">
      <c r="A16" s="65" t="n"/>
      <c r="B16" s="65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65" t="n"/>
      <c r="L16" s="69">
        <f>IF(A16="","",COUNTIF($A16:K16,"A"))</f>
        <v/>
      </c>
      <c r="M16" s="65">
        <f>IF(A16="","",IF(L16=1,"OK",IF(L16=0,"ERROR - NO ACCOUNTABLE","ERROR - MULTIPLE ACCOUNTABLE")))</f>
        <v/>
      </c>
      <c r="N16" s="70" t="n"/>
    </row>
    <row r="17" ht="28" customHeight="1">
      <c r="A17" s="65" t="n"/>
      <c r="B17" s="65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65" t="n"/>
      <c r="L17" s="69">
        <f>IF(A17="","",COUNTIF($A17:K17,"A"))</f>
        <v/>
      </c>
      <c r="M17" s="65">
        <f>IF(A17="","",IF(L17=1,"OK",IF(L17=0,"ERROR - NO ACCOUNTABLE","ERROR - MULTIPLE ACCOUNTABLE")))</f>
        <v/>
      </c>
      <c r="N17" s="70" t="n"/>
    </row>
    <row r="18" ht="28" customHeight="1">
      <c r="A18" s="65" t="n"/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/>
      <c r="L18" s="69">
        <f>IF(A18="","",COUNTIF($A18:K18,"A"))</f>
        <v/>
      </c>
      <c r="M18" s="65">
        <f>IF(A18="","",IF(L18=1,"OK",IF(L18=0,"ERROR - NO ACCOUNTABLE","ERROR - MULTIPLE ACCOUNTABLE")))</f>
        <v/>
      </c>
      <c r="N18" s="70" t="n"/>
    </row>
    <row r="19" ht="28" customHeight="1">
      <c r="A19" s="65" t="n"/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9">
        <f>IF(A19="","",COUNTIF($A19:K19,"A"))</f>
        <v/>
      </c>
      <c r="M19" s="65">
        <f>IF(A19="","",IF(L19=1,"OK",IF(L19=0,"ERROR - NO ACCOUNTABLE","ERROR - MULTIPLE ACCOUNTABLE")))</f>
        <v/>
      </c>
      <c r="N19" s="70" t="n"/>
    </row>
    <row r="20" ht="28" customHeight="1">
      <c r="A20" s="65" t="n"/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9">
        <f>IF(A20="","",COUNTIF($A20:K20,"A"))</f>
        <v/>
      </c>
      <c r="M20" s="65">
        <f>IF(A20="","",IF(L20=1,"OK",IF(L20=0,"ERROR - NO ACCOUNTABLE","ERROR - MULTIPLE ACCOUNTABLE")))</f>
        <v/>
      </c>
      <c r="N20" s="70" t="n"/>
    </row>
    <row r="21" ht="28" customHeight="1">
      <c r="A21" s="65" t="n"/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/>
      <c r="L21" s="69">
        <f>IF(A21="","",COUNTIF($A21:K21,"A"))</f>
        <v/>
      </c>
      <c r="M21" s="65">
        <f>IF(A21="","",IF(L21=1,"OK",IF(L21=0,"ERROR - NO ACCOUNTABLE","ERROR - MULTIPLE ACCOUNTABLE")))</f>
        <v/>
      </c>
      <c r="N21" s="70" t="n"/>
    </row>
    <row r="22" ht="28" customHeight="1">
      <c r="A22" s="65" t="n"/>
      <c r="B22" s="65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65" t="n"/>
      <c r="L22" s="69">
        <f>IF(A22="","",COUNTIF($A22:K22,"A"))</f>
        <v/>
      </c>
      <c r="M22" s="65">
        <f>IF(A22="","",IF(L22=1,"OK",IF(L22=0,"ERROR - NO ACCOUNTABLE","ERROR - MULTIPLE ACCOUNTABLE")))</f>
        <v/>
      </c>
      <c r="N22" s="70" t="n"/>
    </row>
    <row r="23" ht="28" customHeight="1">
      <c r="A23" s="65" t="n"/>
      <c r="B23" s="65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65" t="n"/>
      <c r="L23" s="69">
        <f>IF(A23="","",COUNTIF($A23:K23,"A"))</f>
        <v/>
      </c>
      <c r="M23" s="65">
        <f>IF(A23="","",IF(L23=1,"OK",IF(L23=0,"ERROR - NO ACCOUNTABLE","ERROR - MULTIPLE ACCOUNTABLE")))</f>
        <v/>
      </c>
      <c r="N23" s="70" t="n"/>
    </row>
    <row r="24" ht="28" customHeight="1">
      <c r="A24" s="65" t="n"/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9">
        <f>IF(A24="","",COUNTIF($A24:K24,"A"))</f>
        <v/>
      </c>
      <c r="M24" s="65">
        <f>IF(A24="","",IF(L24=1,"OK",IF(L24=0,"ERROR - NO ACCOUNTABLE","ERROR - MULTIPLE ACCOUNTABLE")))</f>
        <v/>
      </c>
      <c r="N24" s="70" t="n"/>
    </row>
    <row r="25" ht="28" customHeight="1">
      <c r="A25" s="65" t="n"/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9">
        <f>IF(A25="","",COUNTIF($A25:K25,"A"))</f>
        <v/>
      </c>
      <c r="M25" s="65">
        <f>IF(A25="","",IF(L25=1,"OK",IF(L25=0,"ERROR - NO ACCOUNTABLE","ERROR - MULTIPLE ACCOUNTABLE")))</f>
        <v/>
      </c>
      <c r="N25" s="70" t="n"/>
    </row>
    <row r="26" ht="28" customHeight="1">
      <c r="A26" s="65" t="n"/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9">
        <f>IF(A26="","",COUNTIF($A26:K26,"A"))</f>
        <v/>
      </c>
      <c r="M26" s="65">
        <f>IF(A26="","",IF(L26=1,"OK",IF(L26=0,"ERROR - NO ACCOUNTABLE","ERROR - MULTIPLE ACCOUNTABLE")))</f>
        <v/>
      </c>
      <c r="N26" s="70" t="n"/>
    </row>
    <row r="27" ht="28" customHeight="1">
      <c r="A27" s="65" t="n"/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9">
        <f>IF(A27="","",COUNTIF($A27:K27,"A"))</f>
        <v/>
      </c>
      <c r="M27" s="65">
        <f>IF(A27="","",IF(L27=1,"OK",IF(L27=0,"ERROR - NO ACCOUNTABLE","ERROR - MULTIPLE ACCOUNTABLE")))</f>
        <v/>
      </c>
      <c r="N27" s="70" t="n"/>
    </row>
    <row r="28" ht="28" customHeight="1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9">
        <f>IF(A28="","",COUNTIF($A28:K28,"A"))</f>
        <v/>
      </c>
      <c r="M28" s="65">
        <f>IF(A28="","",IF(L28=1,"OK",IF(L28=0,"ERROR - NO ACCOUNTABLE","ERROR - MULTIPLE ACCOUNTABLE")))</f>
        <v/>
      </c>
      <c r="N28" s="70" t="n"/>
    </row>
    <row r="29" ht="28" customHeight="1">
      <c r="A29" s="65" t="n"/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9">
        <f>IF(A29="","",COUNTIF($A29:K29,"A"))</f>
        <v/>
      </c>
      <c r="M29" s="65">
        <f>IF(A29="","",IF(L29=1,"OK",IF(L29=0,"ERROR - NO ACCOUNTABLE","ERROR - MULTIPLE ACCOUNTABLE")))</f>
        <v/>
      </c>
      <c r="N29" s="70" t="n"/>
    </row>
    <row r="30" ht="28" customHeight="1">
      <c r="A30" s="65" t="n"/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9">
        <f>IF(A30="","",COUNTIF($A30:K30,"A"))</f>
        <v/>
      </c>
      <c r="M30" s="65">
        <f>IF(A30="","",IF(L30=1,"OK",IF(L30=0,"ERROR - NO ACCOUNTABLE","ERROR - MULTIPLE ACCOUNTABLE")))</f>
        <v/>
      </c>
      <c r="N30" s="70" t="n"/>
    </row>
    <row r="31" ht="28" customHeight="1">
      <c r="A31" s="65" t="n"/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9">
        <f>IF(A31="","",COUNTIF($A31:K31,"A"))</f>
        <v/>
      </c>
      <c r="M31" s="65">
        <f>IF(A31="","",IF(L31=1,"OK",IF(L31=0,"ERROR - NO ACCOUNTABLE","ERROR - MULTIPLE ACCOUNTABLE")))</f>
        <v/>
      </c>
      <c r="N31" s="70" t="n"/>
    </row>
    <row r="32" ht="28" customHeight="1">
      <c r="A32" s="65" t="n"/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9">
        <f>IF(A32="","",COUNTIF($A32:K32,"A"))</f>
        <v/>
      </c>
      <c r="M32" s="65">
        <f>IF(A32="","",IF(L32=1,"OK",IF(L32=0,"ERROR - NO ACCOUNTABLE","ERROR - MULTIPLE ACCOUNTABLE")))</f>
        <v/>
      </c>
      <c r="N32" s="70" t="n"/>
    </row>
    <row r="33" ht="28" customHeight="1">
      <c r="A33" s="65" t="n"/>
      <c r="B33" s="65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9">
        <f>IF(A33="","",COUNTIF($A33:K33,"A"))</f>
        <v/>
      </c>
      <c r="M33" s="65">
        <f>IF(A33="","",IF(L33=1,"OK",IF(L33=0,"ERROR - NO ACCOUNTABLE","ERROR - MULTIPLE ACCOUNTABLE")))</f>
        <v/>
      </c>
      <c r="N33" s="70" t="n"/>
    </row>
    <row r="34" ht="28" customHeight="1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9">
        <f>IF(A34="","",COUNTIF($A34:K34,"A"))</f>
        <v/>
      </c>
      <c r="M34" s="65">
        <f>IF(A34="","",IF(L34=1,"OK",IF(L34=0,"ERROR - NO ACCOUNTABLE","ERROR - MULTIPLE ACCOUNTABLE")))</f>
        <v/>
      </c>
      <c r="N34" s="70" t="n"/>
    </row>
  </sheetData>
  <mergeCells count="3">
    <mergeCell ref="A3:N3"/>
    <mergeCell ref="A2:N2"/>
    <mergeCell ref="A1:N1"/>
  </mergeCells>
  <conditionalFormatting sqref="L5:L34">
    <cfRule type="expression" priority="1" dxfId="5" stopIfTrue="0">
      <formula>AND(ISNUMBER($L5),$L5&lt;&gt;1)</formula>
    </cfRule>
    <cfRule type="expression" priority="2" dxfId="3" stopIfTrue="0">
      <formula>AND(ISNUMBER($L5),$L5=1)</formula>
    </cfRule>
  </conditionalFormatting>
  <conditionalFormatting sqref="M5:M34">
    <cfRule type="expression" priority="3" dxfId="5" stopIfTrue="0">
      <formula>AND($M5&lt;&gt;"",LEFT($M5,2)&lt;&gt;"OK")</formula>
    </cfRule>
    <cfRule type="expression" priority="4" dxfId="3" stopIfTrue="0">
      <formula>EXACT($M5,"OK")</formula>
    </cfRule>
  </conditionalFormatting>
  <conditionalFormatting sqref="A5:A34">
    <cfRule type="expression" priority="5" dxfId="5" stopIfTrue="0">
      <formula>AND($A5&lt;&gt;"",COUNTIF($A$5:$A$34,$A5)&gt;1)</formula>
    </cfRule>
  </conditionalFormatting>
  <dataValidations count="10">
    <dataValidation sqref="B5:B34" showDropDown="0" showInputMessage="1" showErrorMessage="1" allowBlank="1" errorTitle="Value not allowed" error="Pick a value from the drop-down list (L_RACI)." promptTitle="Select" prompt="Choose a value from the drop-down list." type="list" errorStyle="stop">
      <formula1>L_RACI</formula1>
    </dataValidation>
    <dataValidation sqref="C5:C34" showDropDown="0" showInputMessage="1" showErrorMessage="1" allowBlank="1" errorTitle="Value not allowed" error="Pick a value from the drop-down list (L_RACI)." promptTitle="Select" prompt="Choose a value from the drop-down list." type="list" errorStyle="stop">
      <formula1>L_RACI</formula1>
    </dataValidation>
    <dataValidation sqref="D5:D34" showDropDown="0" showInputMessage="1" showErrorMessage="1" allowBlank="1" errorTitle="Value not allowed" error="Pick a value from the drop-down list (L_RACI)." promptTitle="Select" prompt="Choose a value from the drop-down list." type="list" errorStyle="stop">
      <formula1>L_RACI</formula1>
    </dataValidation>
    <dataValidation sqref="E5:E34" showDropDown="0" showInputMessage="1" showErrorMessage="1" allowBlank="1" errorTitle="Value not allowed" error="Pick a value from the drop-down list (L_RACI)." promptTitle="Select" prompt="Choose a value from the drop-down list." type="list" errorStyle="stop">
      <formula1>L_RACI</formula1>
    </dataValidation>
    <dataValidation sqref="F5:F34" showDropDown="0" showInputMessage="1" showErrorMessage="1" allowBlank="1" errorTitle="Value not allowed" error="Pick a value from the drop-down list (L_RACI)." promptTitle="Select" prompt="Choose a value from the drop-down list." type="list" errorStyle="stop">
      <formula1>L_RACI</formula1>
    </dataValidation>
    <dataValidation sqref="G5:G34" showDropDown="0" showInputMessage="1" showErrorMessage="1" allowBlank="1" errorTitle="Value not allowed" error="Pick a value from the drop-down list (L_RACI)." promptTitle="Select" prompt="Choose a value from the drop-down list." type="list" errorStyle="stop">
      <formula1>L_RACI</formula1>
    </dataValidation>
    <dataValidation sqref="H5:H34" showDropDown="0" showInputMessage="1" showErrorMessage="1" allowBlank="1" errorTitle="Value not allowed" error="Pick a value from the drop-down list (L_RACI)." promptTitle="Select" prompt="Choose a value from the drop-down list." type="list" errorStyle="stop">
      <formula1>L_RACI</formula1>
    </dataValidation>
    <dataValidation sqref="I5:I34" showDropDown="0" showInputMessage="1" showErrorMessage="1" allowBlank="1" errorTitle="Value not allowed" error="Pick a value from the drop-down list (L_RACI)." promptTitle="Select" prompt="Choose a value from the drop-down list." type="list" errorStyle="stop">
      <formula1>L_RACI</formula1>
    </dataValidation>
    <dataValidation sqref="J5:J34" showDropDown="0" showInputMessage="1" showErrorMessage="1" allowBlank="1" errorTitle="Value not allowed" error="Pick a value from the drop-down list (L_RACI)." promptTitle="Select" prompt="Choose a value from the drop-down list." type="list" errorStyle="stop">
      <formula1>L_RACI</formula1>
    </dataValidation>
    <dataValidation sqref="K5:K34" showDropDown="0" showInputMessage="1" showErrorMessage="1" allowBlank="1" errorTitle="Value not allowed" error="Pick a value from the drop-down list (L_RACI)." promptTitle="Select" prompt="Choose a value from the drop-down list." type="list" errorStyle="stop">
      <formula1>L_RACI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1" customWidth="1" min="4" max="4"/>
    <col width="11" customWidth="1" min="5" max="5"/>
    <col width="16" customWidth="1" min="6" max="6"/>
    <col width="20" customWidth="1" min="7" max="7"/>
    <col width="30" customWidth="1" min="8" max="8"/>
    <col width="14" customWidth="1" min="9" max="9"/>
    <col width="16" customWidth="1" min="10" max="10"/>
    <col width="16" customWidth="1" min="11" max="11"/>
    <col width="32" customWidth="1" min="12" max="12"/>
    <col width="22" customWidth="1" min="13" max="13"/>
  </cols>
  <sheetData>
    <row r="1" ht="32" customHeight="1">
      <c r="A1" s="1" t="inlineStr">
        <is>
          <t>STAKEHOLDER REGISTER</t>
        </is>
      </c>
    </row>
    <row r="2" ht="17" customHeight="1">
      <c r="A2" s="2" t="inlineStr">
        <is>
          <t>People who can help or block the portfolio, with influence/interest classification (automatic) and the engagement approach for each one.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Stakeholder</t>
        </is>
      </c>
      <c r="B4" s="64" t="inlineStr">
        <is>
          <t>Role</t>
        </is>
      </c>
      <c r="C4" s="64" t="inlineStr">
        <is>
          <t>Department</t>
        </is>
      </c>
      <c r="D4" s="64" t="inlineStr">
        <is>
          <t>Influence</t>
        </is>
      </c>
      <c r="E4" s="64" t="inlineStr">
        <is>
          <t>Interest</t>
        </is>
      </c>
      <c r="F4" s="64" t="inlineStr">
        <is>
          <t>Engagement Level</t>
        </is>
      </c>
      <c r="G4" s="64" t="inlineStr">
        <is>
          <t>Power/Interest Class</t>
        </is>
      </c>
      <c r="H4" s="64" t="inlineStr">
        <is>
          <t>Information Needed</t>
        </is>
      </c>
      <c r="I4" s="64" t="inlineStr">
        <is>
          <t>Frequency</t>
        </is>
      </c>
      <c r="J4" s="64" t="inlineStr">
        <is>
          <t>Channel</t>
        </is>
      </c>
      <c r="K4" s="64" t="inlineStr">
        <is>
          <t>Owner</t>
        </is>
      </c>
      <c r="L4" s="64" t="inlineStr">
        <is>
          <t>Strategy</t>
        </is>
      </c>
      <c r="M4" s="64" t="inlineStr">
        <is>
          <t>Notes</t>
        </is>
      </c>
    </row>
    <row r="5" ht="28" customHeight="1">
      <c r="A5" s="65" t="inlineStr">
        <is>
          <t>Sarah Mitchell (CEO)</t>
        </is>
      </c>
      <c r="B5" s="65" t="inlineStr">
        <is>
          <t>Executive Sponsor</t>
        </is>
      </c>
      <c r="C5" s="65" t="inlineStr">
        <is>
          <t>Operations</t>
        </is>
      </c>
      <c r="D5" s="65" t="inlineStr">
        <is>
          <t>High</t>
        </is>
      </c>
      <c r="E5" s="65" t="inlineStr">
        <is>
          <t>High</t>
        </is>
      </c>
      <c r="F5" s="65" t="inlineStr">
        <is>
          <t>Supportive</t>
        </is>
      </c>
      <c r="G5" s="65">
        <f>IF(A5="","",IF(AND(D5="High",E5="High"),"Manage Closely",IF(D5="High","Keep Satisfied",IF(E5="High","Keep Informed","Monitor"))))</f>
        <v/>
      </c>
      <c r="H5" s="70" t="inlineStr">
        <is>
          <t>Portfolio RAG, top risks, decisions required</t>
        </is>
      </c>
      <c r="I5" s="65" t="inlineStr">
        <is>
          <t>Weekly</t>
        </is>
      </c>
      <c r="J5" s="65" t="inlineStr">
        <is>
          <t>Executive dashboard</t>
        </is>
      </c>
      <c r="K5" s="65" t="inlineStr">
        <is>
          <t>Priya Raman</t>
        </is>
      </c>
      <c r="L5" s="70" t="inlineStr">
        <is>
          <t>SAMPLE - manage closely, decision-ready pack every Friday</t>
        </is>
      </c>
      <c r="M5" s="70" t="inlineStr">
        <is>
          <t>SAMPLE</t>
        </is>
      </c>
    </row>
    <row r="6" ht="28" customHeight="1">
      <c r="A6" s="65" t="inlineStr">
        <is>
          <t>Ahmed Khan</t>
        </is>
      </c>
      <c r="B6" s="65" t="inlineStr">
        <is>
          <t>Project Manager</t>
        </is>
      </c>
      <c r="C6" s="65" t="inlineStr">
        <is>
          <t>IT</t>
        </is>
      </c>
      <c r="D6" s="65" t="inlineStr">
        <is>
          <t>High</t>
        </is>
      </c>
      <c r="E6" s="65" t="inlineStr">
        <is>
          <t>High</t>
        </is>
      </c>
      <c r="F6" s="65" t="inlineStr">
        <is>
          <t>Leading</t>
        </is>
      </c>
      <c r="G6" s="65">
        <f>IF(A6="","",IF(AND(D6="High",E6="High"),"Manage Closely",IF(D6="High","Keep Satisfied",IF(E6="High","Keep Informed","Monitor"))))</f>
        <v/>
      </c>
      <c r="H6" s="70" t="inlineStr">
        <is>
          <t>Schedule, RAID, actions</t>
        </is>
      </c>
      <c r="I6" s="65" t="inlineStr">
        <is>
          <t>Daily</t>
        </is>
      </c>
      <c r="J6" s="65" t="inlineStr">
        <is>
          <t>Teams</t>
        </is>
      </c>
      <c r="K6" s="65" t="inlineStr">
        <is>
          <t>Priya Raman</t>
        </is>
      </c>
      <c r="L6" s="70" t="inlineStr">
        <is>
          <t>SAMPLE - daily stand-up and action follow-up</t>
        </is>
      </c>
      <c r="M6" s="70" t="inlineStr">
        <is>
          <t>SAMPLE</t>
        </is>
      </c>
    </row>
    <row r="7" ht="28" customHeight="1">
      <c r="A7" s="65" t="inlineStr">
        <is>
          <t>Finance Director</t>
        </is>
      </c>
      <c r="B7" s="65" t="inlineStr">
        <is>
          <t>Budget Owner</t>
        </is>
      </c>
      <c r="C7" s="65" t="inlineStr">
        <is>
          <t>Finance</t>
        </is>
      </c>
      <c r="D7" s="65" t="inlineStr">
        <is>
          <t>High</t>
        </is>
      </c>
      <c r="E7" s="65" t="inlineStr">
        <is>
          <t>Medium</t>
        </is>
      </c>
      <c r="F7" s="65" t="inlineStr">
        <is>
          <t>Neutral</t>
        </is>
      </c>
      <c r="G7" s="65">
        <f>IF(A7="","",IF(AND(D7="High",E7="High"),"Manage Closely",IF(D7="High","Keep Satisfied",IF(E7="High","Keep Informed","Monitor"))))</f>
        <v/>
      </c>
      <c r="H7" s="70" t="inlineStr">
        <is>
          <t>Actual vs approved cost, forecast</t>
        </is>
      </c>
      <c r="I7" s="65" t="inlineStr">
        <is>
          <t>Monthly</t>
        </is>
      </c>
      <c r="J7" s="65" t="inlineStr">
        <is>
          <t>Cost report</t>
        </is>
      </c>
      <c r="K7" s="65" t="inlineStr">
        <is>
          <t>Priya Raman</t>
        </is>
      </c>
      <c r="L7" s="70" t="inlineStr">
        <is>
          <t>SAMPLE - keep satisfied with cost accuracy</t>
        </is>
      </c>
      <c r="M7" s="70" t="inlineStr">
        <is>
          <t>SAMPLE</t>
        </is>
      </c>
    </row>
    <row r="8" ht="28" customHeight="1">
      <c r="A8" s="65" t="inlineStr">
        <is>
          <t>HR Director</t>
        </is>
      </c>
      <c r="B8" s="65" t="inlineStr">
        <is>
          <t>Business Owner</t>
        </is>
      </c>
      <c r="C8" s="65" t="inlineStr">
        <is>
          <t>HR</t>
        </is>
      </c>
      <c r="D8" s="65" t="inlineStr">
        <is>
          <t>High</t>
        </is>
      </c>
      <c r="E8" s="65" t="inlineStr">
        <is>
          <t>High</t>
        </is>
      </c>
      <c r="F8" s="65" t="inlineStr">
        <is>
          <t>Supportive</t>
        </is>
      </c>
      <c r="G8" s="65">
        <f>IF(A8="","",IF(AND(D8="High",E8="High"),"Manage Closely",IF(D8="High","Keep Satisfied",IF(E8="High","Keep Informed","Monitor"))))</f>
        <v/>
      </c>
      <c r="H8" s="70" t="inlineStr">
        <is>
          <t>HR system progress, UAT readiness</t>
        </is>
      </c>
      <c r="I8" s="65" t="inlineStr">
        <is>
          <t>Weekly</t>
        </is>
      </c>
      <c r="J8" s="65" t="inlineStr">
        <is>
          <t>Meeting</t>
        </is>
      </c>
      <c r="K8" s="65" t="inlineStr">
        <is>
          <t>David Okoro</t>
        </is>
      </c>
      <c r="L8" s="70" t="inlineStr">
        <is>
          <t>SAMPLE - manage closely</t>
        </is>
      </c>
      <c r="M8" s="70" t="inlineStr">
        <is>
          <t>SAMPLE</t>
        </is>
      </c>
    </row>
    <row r="9" ht="28" customHeight="1">
      <c r="A9" s="65" t="inlineStr">
        <is>
          <t>IT Operations Lead</t>
        </is>
      </c>
      <c r="B9" s="65" t="inlineStr">
        <is>
          <t>Technical Lead</t>
        </is>
      </c>
      <c r="C9" s="65" t="inlineStr">
        <is>
          <t>IT</t>
        </is>
      </c>
      <c r="D9" s="65" t="inlineStr">
        <is>
          <t>Medium</t>
        </is>
      </c>
      <c r="E9" s="65" t="inlineStr">
        <is>
          <t>High</t>
        </is>
      </c>
      <c r="F9" s="65" t="inlineStr">
        <is>
          <t>Leading</t>
        </is>
      </c>
      <c r="G9" s="65">
        <f>IF(A9="","",IF(AND(D9="High",E9="High"),"Manage Closely",IF(D9="High","Keep Satisfied",IF(E9="High","Keep Informed","Monitor"))))</f>
        <v/>
      </c>
      <c r="H9" s="70" t="inlineStr">
        <is>
          <t>Infrastructure tasks, cut-over plan</t>
        </is>
      </c>
      <c r="I9" s="65" t="inlineStr">
        <is>
          <t>Weekly</t>
        </is>
      </c>
      <c r="J9" s="65" t="inlineStr">
        <is>
          <t>Teams</t>
        </is>
      </c>
      <c r="K9" s="65" t="inlineStr">
        <is>
          <t>Tom Becker</t>
        </is>
      </c>
      <c r="L9" s="70" t="inlineStr">
        <is>
          <t>SAMPLE - keep engaged</t>
        </is>
      </c>
      <c r="M9" s="70" t="inlineStr">
        <is>
          <t>SAMPLE</t>
        </is>
      </c>
    </row>
    <row r="10" ht="28" customHeight="1">
      <c r="A10" s="65" t="inlineStr">
        <is>
          <t>Procurement Manager</t>
        </is>
      </c>
      <c r="B10" s="65" t="inlineStr">
        <is>
          <t>Supplier Manager</t>
        </is>
      </c>
      <c r="C10" s="65" t="inlineStr">
        <is>
          <t>Procurement</t>
        </is>
      </c>
      <c r="D10" s="65" t="inlineStr">
        <is>
          <t>Medium</t>
        </is>
      </c>
      <c r="E10" s="65" t="inlineStr">
        <is>
          <t>Medium</t>
        </is>
      </c>
      <c r="F10" s="65" t="inlineStr">
        <is>
          <t>Neutral</t>
        </is>
      </c>
      <c r="G10" s="65">
        <f>IF(A10="","",IF(AND(D10="High",E10="High"),"Manage Closely",IF(D10="High","Keep Satisfied",IF(E10="High","Keep Informed","Monitor"))))</f>
        <v/>
      </c>
      <c r="H10" s="70" t="inlineStr">
        <is>
          <t>Purchase requests, quotations</t>
        </is>
      </c>
      <c r="I10" s="65" t="inlineStr">
        <is>
          <t>Bi-Weekly</t>
        </is>
      </c>
      <c r="J10" s="65" t="inlineStr">
        <is>
          <t>Email</t>
        </is>
      </c>
      <c r="K10" s="65" t="inlineStr">
        <is>
          <t>Lisa Chen</t>
        </is>
      </c>
      <c r="L10" s="70" t="inlineStr">
        <is>
          <t>SAMPLE - keep informed</t>
        </is>
      </c>
      <c r="M10" s="70" t="inlineStr">
        <is>
          <t>SAMPLE</t>
        </is>
      </c>
    </row>
    <row r="11" ht="28" customHeight="1">
      <c r="A11" s="65" t="inlineStr">
        <is>
          <t>End User Community</t>
        </is>
      </c>
      <c r="B11" s="65" t="inlineStr">
        <is>
          <t>System Users</t>
        </is>
      </c>
      <c r="C11" s="65" t="inlineStr">
        <is>
          <t>Operations</t>
        </is>
      </c>
      <c r="D11" s="65" t="inlineStr">
        <is>
          <t>Low</t>
        </is>
      </c>
      <c r="E11" s="65" t="inlineStr">
        <is>
          <t>High</t>
        </is>
      </c>
      <c r="F11" s="65" t="inlineStr">
        <is>
          <t>Resistant</t>
        </is>
      </c>
      <c r="G11" s="65">
        <f>IF(A11="","",IF(AND(D11="High",E11="High"),"Manage Closely",IF(D11="High","Keep Satisfied",IF(E11="High","Keep Informed","Monitor"))))</f>
        <v/>
      </c>
      <c r="H11" s="70" t="inlineStr">
        <is>
          <t>Training, go-live dates, changes</t>
        </is>
      </c>
      <c r="I11" s="65" t="inlineStr">
        <is>
          <t>Weekly</t>
        </is>
      </c>
      <c r="J11" s="65" t="inlineStr">
        <is>
          <t>Newsletter</t>
        </is>
      </c>
      <c r="K11" s="65" t="inlineStr">
        <is>
          <t>Maria Silva</t>
        </is>
      </c>
      <c r="L11" s="70" t="inlineStr">
        <is>
          <t>SAMPLE - keep informed, early training</t>
        </is>
      </c>
      <c r="M11" s="70" t="inlineStr">
        <is>
          <t>SAMPLE</t>
        </is>
      </c>
    </row>
    <row r="12" ht="28" customHeight="1">
      <c r="A12" s="65" t="inlineStr">
        <is>
          <t>Internal Audit</t>
        </is>
      </c>
      <c r="B12" s="65" t="inlineStr">
        <is>
          <t>Assurance</t>
        </is>
      </c>
      <c r="C12" s="65" t="inlineStr">
        <is>
          <t>Finance</t>
        </is>
      </c>
      <c r="D12" s="65" t="inlineStr">
        <is>
          <t>Medium</t>
        </is>
      </c>
      <c r="E12" s="65" t="inlineStr">
        <is>
          <t>Low</t>
        </is>
      </c>
      <c r="F12" s="65" t="inlineStr">
        <is>
          <t>Unaware</t>
        </is>
      </c>
      <c r="G12" s="65">
        <f>IF(A12="","",IF(AND(D12="High",E12="High"),"Manage Closely",IF(D12="High","Keep Satisfied",IF(E12="High","Keep Informed","Monitor"))))</f>
        <v/>
      </c>
      <c r="H12" s="70" t="inlineStr">
        <is>
          <t>Control evidence, approvals</t>
        </is>
      </c>
      <c r="I12" s="65" t="inlineStr">
        <is>
          <t>Quarterly</t>
        </is>
      </c>
      <c r="J12" s="65" t="inlineStr">
        <is>
          <t>Report</t>
        </is>
      </c>
      <c r="K12" s="65" t="inlineStr">
        <is>
          <t>Grace Alemu</t>
        </is>
      </c>
      <c r="L12" s="70" t="inlineStr">
        <is>
          <t>SAMPLE - monitor</t>
        </is>
      </c>
      <c r="M12" s="70" t="inlineStr">
        <is>
          <t>SAMPLE</t>
        </is>
      </c>
    </row>
    <row r="13" ht="28" customHeight="1">
      <c r="A13" s="65" t="n"/>
      <c r="B13" s="65" t="n"/>
      <c r="C13" s="65" t="n"/>
      <c r="D13" s="65" t="n"/>
      <c r="E13" s="65" t="n"/>
      <c r="F13" s="65" t="n"/>
      <c r="G13" s="65">
        <f>IF(A13="","",IF(AND(D13="High",E13="High"),"Manage Closely",IF(D13="High","Keep Satisfied",IF(E13="High","Keep Informed","Monitor"))))</f>
        <v/>
      </c>
      <c r="H13" s="70" t="n"/>
      <c r="I13" s="65" t="n"/>
      <c r="J13" s="65" t="n"/>
      <c r="K13" s="65" t="n"/>
      <c r="L13" s="70" t="n"/>
      <c r="M13" s="70" t="n"/>
    </row>
    <row r="14" ht="28" customHeight="1">
      <c r="A14" s="65" t="n"/>
      <c r="B14" s="65" t="n"/>
      <c r="C14" s="65" t="n"/>
      <c r="D14" s="65" t="n"/>
      <c r="E14" s="65" t="n"/>
      <c r="F14" s="65" t="n"/>
      <c r="G14" s="65">
        <f>IF(A14="","",IF(AND(D14="High",E14="High"),"Manage Closely",IF(D14="High","Keep Satisfied",IF(E14="High","Keep Informed","Monitor"))))</f>
        <v/>
      </c>
      <c r="H14" s="70" t="n"/>
      <c r="I14" s="65" t="n"/>
      <c r="J14" s="65" t="n"/>
      <c r="K14" s="65" t="n"/>
      <c r="L14" s="70" t="n"/>
      <c r="M14" s="70" t="n"/>
    </row>
    <row r="15" ht="28" customHeight="1">
      <c r="A15" s="65" t="n"/>
      <c r="B15" s="65" t="n"/>
      <c r="C15" s="65" t="n"/>
      <c r="D15" s="65" t="n"/>
      <c r="E15" s="65" t="n"/>
      <c r="F15" s="65" t="n"/>
      <c r="G15" s="65">
        <f>IF(A15="","",IF(AND(D15="High",E15="High"),"Manage Closely",IF(D15="High","Keep Satisfied",IF(E15="High","Keep Informed","Monitor"))))</f>
        <v/>
      </c>
      <c r="H15" s="70" t="n"/>
      <c r="I15" s="65" t="n"/>
      <c r="J15" s="65" t="n"/>
      <c r="K15" s="65" t="n"/>
      <c r="L15" s="70" t="n"/>
      <c r="M15" s="70" t="n"/>
    </row>
    <row r="16" ht="28" customHeight="1">
      <c r="A16" s="65" t="n"/>
      <c r="B16" s="65" t="n"/>
      <c r="C16" s="65" t="n"/>
      <c r="D16" s="65" t="n"/>
      <c r="E16" s="65" t="n"/>
      <c r="F16" s="65" t="n"/>
      <c r="G16" s="65">
        <f>IF(A16="","",IF(AND(D16="High",E16="High"),"Manage Closely",IF(D16="High","Keep Satisfied",IF(E16="High","Keep Informed","Monitor"))))</f>
        <v/>
      </c>
      <c r="H16" s="70" t="n"/>
      <c r="I16" s="65" t="n"/>
      <c r="J16" s="65" t="n"/>
      <c r="K16" s="65" t="n"/>
      <c r="L16" s="70" t="n"/>
      <c r="M16" s="70" t="n"/>
    </row>
    <row r="17" ht="28" customHeight="1">
      <c r="A17" s="65" t="n"/>
      <c r="B17" s="65" t="n"/>
      <c r="C17" s="65" t="n"/>
      <c r="D17" s="65" t="n"/>
      <c r="E17" s="65" t="n"/>
      <c r="F17" s="65" t="n"/>
      <c r="G17" s="65">
        <f>IF(A17="","",IF(AND(D17="High",E17="High"),"Manage Closely",IF(D17="High","Keep Satisfied",IF(E17="High","Keep Informed","Monitor"))))</f>
        <v/>
      </c>
      <c r="H17" s="70" t="n"/>
      <c r="I17" s="65" t="n"/>
      <c r="J17" s="65" t="n"/>
      <c r="K17" s="65" t="n"/>
      <c r="L17" s="70" t="n"/>
      <c r="M17" s="70" t="n"/>
    </row>
    <row r="18" ht="28" customHeight="1">
      <c r="A18" s="65" t="n"/>
      <c r="B18" s="65" t="n"/>
      <c r="C18" s="65" t="n"/>
      <c r="D18" s="65" t="n"/>
      <c r="E18" s="65" t="n"/>
      <c r="F18" s="65" t="n"/>
      <c r="G18" s="65">
        <f>IF(A18="","",IF(AND(D18="High",E18="High"),"Manage Closely",IF(D18="High","Keep Satisfied",IF(E18="High","Keep Informed","Monitor"))))</f>
        <v/>
      </c>
      <c r="H18" s="70" t="n"/>
      <c r="I18" s="65" t="n"/>
      <c r="J18" s="65" t="n"/>
      <c r="K18" s="65" t="n"/>
      <c r="L18" s="70" t="n"/>
      <c r="M18" s="70" t="n"/>
    </row>
    <row r="19" ht="28" customHeight="1">
      <c r="A19" s="65" t="n"/>
      <c r="B19" s="65" t="n"/>
      <c r="C19" s="65" t="n"/>
      <c r="D19" s="65" t="n"/>
      <c r="E19" s="65" t="n"/>
      <c r="F19" s="65" t="n"/>
      <c r="G19" s="65">
        <f>IF(A19="","",IF(AND(D19="High",E19="High"),"Manage Closely",IF(D19="High","Keep Satisfied",IF(E19="High","Keep Informed","Monitor"))))</f>
        <v/>
      </c>
      <c r="H19" s="70" t="n"/>
      <c r="I19" s="65" t="n"/>
      <c r="J19" s="65" t="n"/>
      <c r="K19" s="65" t="n"/>
      <c r="L19" s="70" t="n"/>
      <c r="M19" s="70" t="n"/>
    </row>
    <row r="20" ht="28" customHeight="1">
      <c r="A20" s="65" t="n"/>
      <c r="B20" s="65" t="n"/>
      <c r="C20" s="65" t="n"/>
      <c r="D20" s="65" t="n"/>
      <c r="E20" s="65" t="n"/>
      <c r="F20" s="65" t="n"/>
      <c r="G20" s="65">
        <f>IF(A20="","",IF(AND(D20="High",E20="High"),"Manage Closely",IF(D20="High","Keep Satisfied",IF(E20="High","Keep Informed","Monitor"))))</f>
        <v/>
      </c>
      <c r="H20" s="70" t="n"/>
      <c r="I20" s="65" t="n"/>
      <c r="J20" s="65" t="n"/>
      <c r="K20" s="65" t="n"/>
      <c r="L20" s="70" t="n"/>
      <c r="M20" s="70" t="n"/>
    </row>
    <row r="21" ht="28" customHeight="1">
      <c r="A21" s="65" t="n"/>
      <c r="B21" s="65" t="n"/>
      <c r="C21" s="65" t="n"/>
      <c r="D21" s="65" t="n"/>
      <c r="E21" s="65" t="n"/>
      <c r="F21" s="65" t="n"/>
      <c r="G21" s="65">
        <f>IF(A21="","",IF(AND(D21="High",E21="High"),"Manage Closely",IF(D21="High","Keep Satisfied",IF(E21="High","Keep Informed","Monitor"))))</f>
        <v/>
      </c>
      <c r="H21" s="70" t="n"/>
      <c r="I21" s="65" t="n"/>
      <c r="J21" s="65" t="n"/>
      <c r="K21" s="65" t="n"/>
      <c r="L21" s="70" t="n"/>
      <c r="M21" s="70" t="n"/>
    </row>
    <row r="22" ht="28" customHeight="1">
      <c r="A22" s="65" t="n"/>
      <c r="B22" s="65" t="n"/>
      <c r="C22" s="65" t="n"/>
      <c r="D22" s="65" t="n"/>
      <c r="E22" s="65" t="n"/>
      <c r="F22" s="65" t="n"/>
      <c r="G22" s="65">
        <f>IF(A22="","",IF(AND(D22="High",E22="High"),"Manage Closely",IF(D22="High","Keep Satisfied",IF(E22="High","Keep Informed","Monitor"))))</f>
        <v/>
      </c>
      <c r="H22" s="70" t="n"/>
      <c r="I22" s="65" t="n"/>
      <c r="J22" s="65" t="n"/>
      <c r="K22" s="65" t="n"/>
      <c r="L22" s="70" t="n"/>
      <c r="M22" s="70" t="n"/>
    </row>
    <row r="23" ht="28" customHeight="1">
      <c r="A23" s="65" t="n"/>
      <c r="B23" s="65" t="n"/>
      <c r="C23" s="65" t="n"/>
      <c r="D23" s="65" t="n"/>
      <c r="E23" s="65" t="n"/>
      <c r="F23" s="65" t="n"/>
      <c r="G23" s="65">
        <f>IF(A23="","",IF(AND(D23="High",E23="High"),"Manage Closely",IF(D23="High","Keep Satisfied",IF(E23="High","Keep Informed","Monitor"))))</f>
        <v/>
      </c>
      <c r="H23" s="70" t="n"/>
      <c r="I23" s="65" t="n"/>
      <c r="J23" s="65" t="n"/>
      <c r="K23" s="65" t="n"/>
      <c r="L23" s="70" t="n"/>
      <c r="M23" s="70" t="n"/>
    </row>
    <row r="24" ht="28" customHeight="1">
      <c r="A24" s="65" t="n"/>
      <c r="B24" s="65" t="n"/>
      <c r="C24" s="65" t="n"/>
      <c r="D24" s="65" t="n"/>
      <c r="E24" s="65" t="n"/>
      <c r="F24" s="65" t="n"/>
      <c r="G24" s="65">
        <f>IF(A24="","",IF(AND(D24="High",E24="High"),"Manage Closely",IF(D24="High","Keep Satisfied",IF(E24="High","Keep Informed","Monitor"))))</f>
        <v/>
      </c>
      <c r="H24" s="70" t="n"/>
      <c r="I24" s="65" t="n"/>
      <c r="J24" s="65" t="n"/>
      <c r="K24" s="65" t="n"/>
      <c r="L24" s="70" t="n"/>
      <c r="M24" s="70" t="n"/>
    </row>
    <row r="25" ht="28" customHeight="1">
      <c r="A25" s="65" t="n"/>
      <c r="B25" s="65" t="n"/>
      <c r="C25" s="65" t="n"/>
      <c r="D25" s="65" t="n"/>
      <c r="E25" s="65" t="n"/>
      <c r="F25" s="65" t="n"/>
      <c r="G25" s="65">
        <f>IF(A25="","",IF(AND(D25="High",E25="High"),"Manage Closely",IF(D25="High","Keep Satisfied",IF(E25="High","Keep Informed","Monitor"))))</f>
        <v/>
      </c>
      <c r="H25" s="70" t="n"/>
      <c r="I25" s="65" t="n"/>
      <c r="J25" s="65" t="n"/>
      <c r="K25" s="65" t="n"/>
      <c r="L25" s="70" t="n"/>
      <c r="M25" s="70" t="n"/>
    </row>
    <row r="26" ht="28" customHeight="1">
      <c r="A26" s="65" t="n"/>
      <c r="B26" s="65" t="n"/>
      <c r="C26" s="65" t="n"/>
      <c r="D26" s="65" t="n"/>
      <c r="E26" s="65" t="n"/>
      <c r="F26" s="65" t="n"/>
      <c r="G26" s="65">
        <f>IF(A26="","",IF(AND(D26="High",E26="High"),"Manage Closely",IF(D26="High","Keep Satisfied",IF(E26="High","Keep Informed","Monitor"))))</f>
        <v/>
      </c>
      <c r="H26" s="70" t="n"/>
      <c r="I26" s="65" t="n"/>
      <c r="J26" s="65" t="n"/>
      <c r="K26" s="65" t="n"/>
      <c r="L26" s="70" t="n"/>
      <c r="M26" s="70" t="n"/>
    </row>
    <row r="27" ht="28" customHeight="1">
      <c r="A27" s="65" t="n"/>
      <c r="B27" s="65" t="n"/>
      <c r="C27" s="65" t="n"/>
      <c r="D27" s="65" t="n"/>
      <c r="E27" s="65" t="n"/>
      <c r="F27" s="65" t="n"/>
      <c r="G27" s="65">
        <f>IF(A27="","",IF(AND(D27="High",E27="High"),"Manage Closely",IF(D27="High","Keep Satisfied",IF(E27="High","Keep Informed","Monitor"))))</f>
        <v/>
      </c>
      <c r="H27" s="70" t="n"/>
      <c r="I27" s="65" t="n"/>
      <c r="J27" s="65" t="n"/>
      <c r="K27" s="65" t="n"/>
      <c r="L27" s="70" t="n"/>
      <c r="M27" s="70" t="n"/>
    </row>
    <row r="28" ht="28" customHeight="1">
      <c r="A28" s="65" t="n"/>
      <c r="B28" s="65" t="n"/>
      <c r="C28" s="65" t="n"/>
      <c r="D28" s="65" t="n"/>
      <c r="E28" s="65" t="n"/>
      <c r="F28" s="65" t="n"/>
      <c r="G28" s="65">
        <f>IF(A28="","",IF(AND(D28="High",E28="High"),"Manage Closely",IF(D28="High","Keep Satisfied",IF(E28="High","Keep Informed","Monitor"))))</f>
        <v/>
      </c>
      <c r="H28" s="70" t="n"/>
      <c r="I28" s="65" t="n"/>
      <c r="J28" s="65" t="n"/>
      <c r="K28" s="65" t="n"/>
      <c r="L28" s="70" t="n"/>
      <c r="M28" s="70" t="n"/>
    </row>
    <row r="29" ht="28" customHeight="1">
      <c r="A29" s="65" t="n"/>
      <c r="B29" s="65" t="n"/>
      <c r="C29" s="65" t="n"/>
      <c r="D29" s="65" t="n"/>
      <c r="E29" s="65" t="n"/>
      <c r="F29" s="65" t="n"/>
      <c r="G29" s="65">
        <f>IF(A29="","",IF(AND(D29="High",E29="High"),"Manage Closely",IF(D29="High","Keep Satisfied",IF(E29="High","Keep Informed","Monitor"))))</f>
        <v/>
      </c>
      <c r="H29" s="70" t="n"/>
      <c r="I29" s="65" t="n"/>
      <c r="J29" s="65" t="n"/>
      <c r="K29" s="65" t="n"/>
      <c r="L29" s="70" t="n"/>
      <c r="M29" s="70" t="n"/>
    </row>
    <row r="30" ht="28" customHeight="1">
      <c r="A30" s="65" t="n"/>
      <c r="B30" s="65" t="n"/>
      <c r="C30" s="65" t="n"/>
      <c r="D30" s="65" t="n"/>
      <c r="E30" s="65" t="n"/>
      <c r="F30" s="65" t="n"/>
      <c r="G30" s="65">
        <f>IF(A30="","",IF(AND(D30="High",E30="High"),"Manage Closely",IF(D30="High","Keep Satisfied",IF(E30="High","Keep Informed","Monitor"))))</f>
        <v/>
      </c>
      <c r="H30" s="70" t="n"/>
      <c r="I30" s="65" t="n"/>
      <c r="J30" s="65" t="n"/>
      <c r="K30" s="65" t="n"/>
      <c r="L30" s="70" t="n"/>
      <c r="M30" s="70" t="n"/>
    </row>
    <row r="31" ht="28" customHeight="1">
      <c r="A31" s="65" t="n"/>
      <c r="B31" s="65" t="n"/>
      <c r="C31" s="65" t="n"/>
      <c r="D31" s="65" t="n"/>
      <c r="E31" s="65" t="n"/>
      <c r="F31" s="65" t="n"/>
      <c r="G31" s="65">
        <f>IF(A31="","",IF(AND(D31="High",E31="High"),"Manage Closely",IF(D31="High","Keep Satisfied",IF(E31="High","Keep Informed","Monitor"))))</f>
        <v/>
      </c>
      <c r="H31" s="70" t="n"/>
      <c r="I31" s="65" t="n"/>
      <c r="J31" s="65" t="n"/>
      <c r="K31" s="65" t="n"/>
      <c r="L31" s="70" t="n"/>
      <c r="M31" s="70" t="n"/>
    </row>
    <row r="32" ht="28" customHeight="1">
      <c r="A32" s="65" t="n"/>
      <c r="B32" s="65" t="n"/>
      <c r="C32" s="65" t="n"/>
      <c r="D32" s="65" t="n"/>
      <c r="E32" s="65" t="n"/>
      <c r="F32" s="65" t="n"/>
      <c r="G32" s="65">
        <f>IF(A32="","",IF(AND(D32="High",E32="High"),"Manage Closely",IF(D32="High","Keep Satisfied",IF(E32="High","Keep Informed","Monitor"))))</f>
        <v/>
      </c>
      <c r="H32" s="70" t="n"/>
      <c r="I32" s="65" t="n"/>
      <c r="J32" s="65" t="n"/>
      <c r="K32" s="65" t="n"/>
      <c r="L32" s="70" t="n"/>
      <c r="M32" s="70" t="n"/>
    </row>
    <row r="33" ht="28" customHeight="1">
      <c r="A33" s="65" t="n"/>
      <c r="B33" s="65" t="n"/>
      <c r="C33" s="65" t="n"/>
      <c r="D33" s="65" t="n"/>
      <c r="E33" s="65" t="n"/>
      <c r="F33" s="65" t="n"/>
      <c r="G33" s="65">
        <f>IF(A33="","",IF(AND(D33="High",E33="High"),"Manage Closely",IF(D33="High","Keep Satisfied",IF(E33="High","Keep Informed","Monitor"))))</f>
        <v/>
      </c>
      <c r="H33" s="70" t="n"/>
      <c r="I33" s="65" t="n"/>
      <c r="J33" s="65" t="n"/>
      <c r="K33" s="65" t="n"/>
      <c r="L33" s="70" t="n"/>
      <c r="M33" s="70" t="n"/>
    </row>
    <row r="34" ht="28" customHeight="1">
      <c r="A34" s="65" t="n"/>
      <c r="B34" s="65" t="n"/>
      <c r="C34" s="65" t="n"/>
      <c r="D34" s="65" t="n"/>
      <c r="E34" s="65" t="n"/>
      <c r="F34" s="65" t="n"/>
      <c r="G34" s="65">
        <f>IF(A34="","",IF(AND(D34="High",E34="High"),"Manage Closely",IF(D34="High","Keep Satisfied",IF(E34="High","Keep Informed","Monitor"))))</f>
        <v/>
      </c>
      <c r="H34" s="70" t="n"/>
      <c r="I34" s="65" t="n"/>
      <c r="J34" s="65" t="n"/>
      <c r="K34" s="65" t="n"/>
      <c r="L34" s="70" t="n"/>
      <c r="M34" s="70" t="n"/>
    </row>
    <row r="36" ht="20" customHeight="1">
      <c r="A36" s="6" t="inlineStr">
        <is>
          <t>POWER / INTEREST MATRIX - AUTOMATIC COUNTS</t>
        </is>
      </c>
    </row>
    <row r="37" ht="24" customHeight="1">
      <c r="A37" s="79" t="inlineStr">
        <is>
          <t>INFLUENCE  \  INTEREST</t>
        </is>
      </c>
      <c r="B37" s="32" t="n"/>
      <c r="C37" s="79" t="inlineStr">
        <is>
          <t>LOW</t>
        </is>
      </c>
      <c r="D37" s="32" t="n"/>
      <c r="E37" s="32" t="n"/>
      <c r="F37" s="32" t="n"/>
      <c r="G37" s="79" t="inlineStr">
        <is>
          <t>MEDIUM</t>
        </is>
      </c>
      <c r="H37" s="32" t="n"/>
      <c r="I37" s="32" t="n"/>
      <c r="J37" s="32" t="n"/>
      <c r="K37" s="79" t="inlineStr">
        <is>
          <t>HIGH</t>
        </is>
      </c>
      <c r="L37" s="32" t="n"/>
      <c r="M37" s="32" t="n"/>
    </row>
    <row r="38" ht="34" customHeight="1">
      <c r="A38" s="80" t="inlineStr">
        <is>
          <t>HIGH POWER</t>
        </is>
      </c>
      <c r="B38" s="25" t="n"/>
      <c r="C38" s="81">
        <f>COUNTIFS($D$5:$D$34,"High",$E$5:$E$34,"Low")</f>
        <v/>
      </c>
      <c r="D38" s="82" t="n"/>
      <c r="E38" s="82" t="n"/>
      <c r="F38" s="82" t="n"/>
      <c r="G38" s="83">
        <f>COUNTIFS($D$5:$D$34,"High",$E$5:$E$34,"Medium")</f>
        <v/>
      </c>
      <c r="H38" s="12" t="n"/>
      <c r="I38" s="12" t="n"/>
      <c r="J38" s="12" t="n"/>
      <c r="K38" s="84">
        <f>COUNTIFS($D$5:$D$34,"High",$E$5:$E$34,"High")</f>
        <v/>
      </c>
      <c r="L38" s="85" t="n"/>
      <c r="M38" s="85" t="n"/>
    </row>
    <row r="39" ht="34" customHeight="1">
      <c r="A39" s="80" t="inlineStr">
        <is>
          <t>MEDIUM POWER</t>
        </is>
      </c>
      <c r="B39" s="25" t="n"/>
      <c r="C39" s="83">
        <f>COUNTIFS($D$5:$D$34,"Medium",$E$5:$E$34,"Low")</f>
        <v/>
      </c>
      <c r="D39" s="12" t="n"/>
      <c r="E39" s="12" t="n"/>
      <c r="F39" s="12" t="n"/>
      <c r="G39" s="83">
        <f>COUNTIFS($D$5:$D$34,"Medium",$E$5:$E$34,"Medium")</f>
        <v/>
      </c>
      <c r="H39" s="12" t="n"/>
      <c r="I39" s="12" t="n"/>
      <c r="J39" s="12" t="n"/>
      <c r="K39" s="83">
        <f>COUNTIFS($D$5:$D$34,"Medium",$E$5:$E$34,"High")</f>
        <v/>
      </c>
      <c r="L39" s="12" t="n"/>
      <c r="M39" s="12" t="n"/>
    </row>
    <row r="40" ht="34" customHeight="1">
      <c r="A40" s="80" t="inlineStr">
        <is>
          <t>LOW POWER</t>
        </is>
      </c>
      <c r="B40" s="25" t="n"/>
      <c r="C40" s="86">
        <f>COUNTIFS($D$5:$D$34,"Low",$E$5:$E$34,"Low")</f>
        <v/>
      </c>
      <c r="D40" s="87" t="n"/>
      <c r="E40" s="87" t="n"/>
      <c r="F40" s="87" t="n"/>
      <c r="G40" s="83">
        <f>COUNTIFS($D$5:$D$34,"Low",$E$5:$E$34,"Medium")</f>
        <v/>
      </c>
      <c r="H40" s="12" t="n"/>
      <c r="I40" s="12" t="n"/>
      <c r="J40" s="12" t="n"/>
      <c r="K40" s="81">
        <f>COUNTIFS($D$5:$D$34,"Low",$E$5:$E$34,"High")</f>
        <v/>
      </c>
      <c r="L40" s="82" t="n"/>
      <c r="M40" s="82" t="n"/>
    </row>
    <row r="41" ht="8" customHeight="1"/>
    <row r="42" ht="24" customHeight="1">
      <c r="A42" s="79" t="inlineStr">
        <is>
          <t>MANAGE CLOSELY</t>
        </is>
      </c>
      <c r="B42" s="32" t="n"/>
      <c r="C42" s="32" t="n"/>
      <c r="D42" s="79" t="inlineStr">
        <is>
          <t>KEEP SATISFIED</t>
        </is>
      </c>
      <c r="E42" s="32" t="n"/>
      <c r="F42" s="32" t="n"/>
      <c r="G42" s="79" t="inlineStr">
        <is>
          <t>KEEP INFORMED</t>
        </is>
      </c>
      <c r="H42" s="32" t="n"/>
      <c r="I42" s="32" t="n"/>
      <c r="J42" s="79" t="inlineStr">
        <is>
          <t>MONITOR</t>
        </is>
      </c>
      <c r="K42" s="32" t="n"/>
      <c r="L42" s="32" t="n"/>
      <c r="M42" s="32" t="n"/>
    </row>
    <row r="43" ht="34" customHeight="1">
      <c r="A43" s="84">
        <f>COUNTIF($G$5:$G$34,"Manage Closely")</f>
        <v/>
      </c>
      <c r="B43" s="85" t="n"/>
      <c r="C43" s="85" t="n"/>
      <c r="D43" s="81">
        <f>COUNTIF($G$5:$G$34,"Keep Satisfied")</f>
        <v/>
      </c>
      <c r="E43" s="82" t="n"/>
      <c r="F43" s="82" t="n"/>
      <c r="G43" s="81">
        <f>COUNTIF($G$5:$G$34,"Keep Informed")</f>
        <v/>
      </c>
      <c r="H43" s="82" t="n"/>
      <c r="I43" s="82" t="n"/>
      <c r="J43" s="86">
        <f>COUNTIF($G$5:$G$34,"Monitor")</f>
        <v/>
      </c>
      <c r="K43" s="87" t="n"/>
      <c r="L43" s="87" t="n"/>
      <c r="M43" s="87" t="n"/>
    </row>
    <row r="44" ht="16" customHeight="1">
      <c r="A44" s="3" t="inlineStr">
        <is>
          <t>Counts come from the Influence and Interest drop-downs above; the Power/Interest Class column (and this matrix) updates the moment either changes.</t>
        </is>
      </c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</row>
  </sheetData>
  <mergeCells count="29">
    <mergeCell ref="C39:F39"/>
    <mergeCell ref="K40:M40"/>
    <mergeCell ref="J43:M43"/>
    <mergeCell ref="C38:F38"/>
    <mergeCell ref="C37:F37"/>
    <mergeCell ref="D43:F43"/>
    <mergeCell ref="A42:C42"/>
    <mergeCell ref="J42:M42"/>
    <mergeCell ref="G40:J40"/>
    <mergeCell ref="A44:M44"/>
    <mergeCell ref="A37:B37"/>
    <mergeCell ref="K39:M39"/>
    <mergeCell ref="A43:C43"/>
    <mergeCell ref="D42:F42"/>
    <mergeCell ref="A36:M36"/>
    <mergeCell ref="K38:M38"/>
    <mergeCell ref="A1:M1"/>
    <mergeCell ref="G39:J39"/>
    <mergeCell ref="K37:M37"/>
    <mergeCell ref="G38:J38"/>
    <mergeCell ref="G37:J37"/>
    <mergeCell ref="G43:I43"/>
    <mergeCell ref="C40:F40"/>
    <mergeCell ref="A38:B38"/>
    <mergeCell ref="G42:I42"/>
    <mergeCell ref="A3:M3"/>
    <mergeCell ref="A40:B40"/>
    <mergeCell ref="A2:M2"/>
    <mergeCell ref="A39:B39"/>
  </mergeCells>
  <conditionalFormatting sqref="G5:G34">
    <cfRule type="expression" priority="1" dxfId="3" stopIfTrue="1">
      <formula>EXACT($G5,"Manage Closely")</formula>
    </cfRule>
    <cfRule type="expression" priority="2" dxfId="4" stopIfTrue="1">
      <formula>EXACT($G5,"Keep Satisfied")</formula>
    </cfRule>
    <cfRule type="expression" priority="3" dxfId="4" stopIfTrue="1">
      <formula>EXACT($G5,"Keep Informed")</formula>
    </cfRule>
    <cfRule type="expression" priority="4" dxfId="8" stopIfTrue="1">
      <formula>EXACT($G5,"Monitor")</formula>
    </cfRule>
  </conditionalFormatting>
  <conditionalFormatting sqref="D5:D34">
    <cfRule type="expression" priority="5" dxfId="5" stopIfTrue="1">
      <formula>EXACT($D5,"High")</formula>
    </cfRule>
    <cfRule type="expression" priority="6" dxfId="4" stopIfTrue="1">
      <formula>EXACT($D5,"Medium")</formula>
    </cfRule>
    <cfRule type="expression" priority="7" dxfId="3" stopIfTrue="1">
      <formula>EXACT($D5,"Low")</formula>
    </cfRule>
  </conditionalFormatting>
  <conditionalFormatting sqref="E5:E34">
    <cfRule type="expression" priority="8" dxfId="5" stopIfTrue="1">
      <formula>EXACT($E5,"High")</formula>
    </cfRule>
    <cfRule type="expression" priority="9" dxfId="4" stopIfTrue="1">
      <formula>EXACT($E5,"Medium")</formula>
    </cfRule>
    <cfRule type="expression" priority="10" dxfId="3" stopIfTrue="1">
      <formula>EXACT($E5,"Low")</formula>
    </cfRule>
  </conditionalFormatting>
  <conditionalFormatting sqref="A5:A34">
    <cfRule type="expression" priority="11" dxfId="5" stopIfTrue="0">
      <formula>AND($A5&lt;&gt;"",COUNTIF($A$5:$A$34,$A5)&gt;1)</formula>
    </cfRule>
  </conditionalFormatting>
  <dataValidations count="6">
    <dataValidation sqref="C5:C34" showDropDown="0" showInputMessage="1" showErrorMessage="1" allowBlank="1" errorTitle="Value not allowed" error="Pick a value from the drop-down list (L_Dept)." promptTitle="Select" prompt="Choose a value from the drop-down list." type="list" errorStyle="stop">
      <formula1>L_Dept</formula1>
    </dataValidation>
    <dataValidation sqref="D5:D34" showDropDown="0" showInputMessage="1" showErrorMessage="1" allowBlank="1" errorTitle="Value not allowed" error="Pick a value from the drop-down list (L_HML)." promptTitle="Select" prompt="Choose a value from the drop-down list." type="list" errorStyle="stop">
      <formula1>L_HML</formula1>
    </dataValidation>
    <dataValidation sqref="E5:E34" showDropDown="0" showInputMessage="1" showErrorMessage="1" allowBlank="1" errorTitle="Value not allowed" error="Pick a value from the drop-down list (L_HML)." promptTitle="Select" prompt="Choose a value from the drop-down list." type="list" errorStyle="stop">
      <formula1>L_HML</formula1>
    </dataValidation>
    <dataValidation sqref="F5:F34" showDropDown="0" showInputMessage="1" showErrorMessage="1" allowBlank="1" errorTitle="Value not allowed" error="Pick a value from the drop-down list (L_Engagement)." promptTitle="Select" prompt="Choose a value from the drop-down list." type="list" errorStyle="stop">
      <formula1>L_Engagement</formula1>
    </dataValidation>
    <dataValidation sqref="I5:I34" showDropDown="0" showInputMessage="1" showErrorMessage="1" allowBlank="1" errorTitle="Value not allowed" error="Pick a value from the drop-down list (L_Frequency)." promptTitle="Select" prompt="Choose a value from the drop-down list." type="list" errorStyle="stop">
      <formula1>L_Frequency</formula1>
    </dataValidation>
    <dataValidation sqref="K5:K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T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36" customWidth="1" min="5" max="5"/>
    <col width="26" customWidth="1" min="6" max="6"/>
    <col width="12" customWidth="1" min="7" max="7"/>
    <col width="15" customWidth="1" min="8" max="8"/>
    <col width="13" customWidth="1" min="9" max="9"/>
    <col width="12" customWidth="1" min="10" max="10"/>
    <col width="11" customWidth="1" min="11" max="11"/>
    <col width="30" customWidth="1" min="12" max="12"/>
    <col width="24" customWidth="1" min="13" max="13"/>
    <col width="15" customWidth="1" min="14" max="14"/>
    <col width="16" customWidth="1" min="15" max="15"/>
    <col width="13" customWidth="1" min="16" max="16"/>
    <col width="17" customWidth="1" min="17" max="17"/>
    <col width="24" customWidth="1" min="18" max="18"/>
    <col width="22" customWidth="1" min="19" max="19"/>
    <col width="11" customWidth="1" min="20" max="20"/>
  </cols>
  <sheetData>
    <row r="1" ht="32" customHeight="1">
      <c r="A1" s="1" t="inlineStr">
        <is>
          <t>CHANGE CONTROL</t>
        </is>
      </c>
    </row>
    <row r="2" ht="17" customHeight="1">
      <c r="A2" s="2" t="inlineStr">
        <is>
          <t>Formal change requests with impact assessment and approval. No change may be implemented unless the approval status is Approved - the compliance column flags breaches.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Change ID</t>
        </is>
      </c>
      <c r="B4" s="64" t="inlineStr">
        <is>
          <t>Project</t>
        </is>
      </c>
      <c r="C4" s="64" t="inlineStr">
        <is>
          <t>Requested By</t>
        </is>
      </c>
      <c r="D4" s="64" t="inlineStr">
        <is>
          <t>Request Date</t>
        </is>
      </c>
      <c r="E4" s="64" t="inlineStr">
        <is>
          <t>Change Description</t>
        </is>
      </c>
      <c r="F4" s="64" t="inlineStr">
        <is>
          <t>Reason</t>
        </is>
      </c>
      <c r="G4" s="64" t="inlineStr">
        <is>
          <t>Scope Impact</t>
        </is>
      </c>
      <c r="H4" s="64" t="inlineStr">
        <is>
          <t>Schedule Impact (days)</t>
        </is>
      </c>
      <c r="I4" s="64" t="inlineStr">
        <is>
          <t>Cost Impact</t>
        </is>
      </c>
      <c r="J4" s="64" t="inlineStr">
        <is>
          <t>Risk Impact</t>
        </is>
      </c>
      <c r="K4" s="64" t="inlineStr">
        <is>
          <t>Priority</t>
        </is>
      </c>
      <c r="L4" s="64" t="inlineStr">
        <is>
          <t>Impact Assessment</t>
        </is>
      </c>
      <c r="M4" s="64" t="inlineStr">
        <is>
          <t>Recommendation</t>
        </is>
      </c>
      <c r="N4" s="64" t="inlineStr">
        <is>
          <t>Approval Status</t>
        </is>
      </c>
      <c r="O4" s="64" t="inlineStr">
        <is>
          <t>Approved By</t>
        </is>
      </c>
      <c r="P4" s="64" t="inlineStr">
        <is>
          <t>Approval Date</t>
        </is>
      </c>
      <c r="Q4" s="64" t="inlineStr">
        <is>
          <t>Implementation Status</t>
        </is>
      </c>
      <c r="R4" s="64" t="inlineStr">
        <is>
          <t>Compliance Check</t>
        </is>
      </c>
      <c r="S4" s="64" t="inlineStr">
        <is>
          <t>Notes</t>
        </is>
      </c>
      <c r="T4" s="64" t="inlineStr">
        <is>
          <t>PendingRank</t>
        </is>
      </c>
    </row>
    <row r="5" ht="28" customHeight="1">
      <c r="A5" s="65" t="inlineStr">
        <is>
          <t>CR-001</t>
        </is>
      </c>
      <c r="B5" s="65" t="inlineStr">
        <is>
          <t>ERP Implementation</t>
        </is>
      </c>
      <c r="C5" s="65" t="inlineStr">
        <is>
          <t>Business Owner</t>
        </is>
      </c>
      <c r="D5" s="66" t="n">
        <v>46297</v>
      </c>
      <c r="E5" s="70" t="inlineStr">
        <is>
          <t>Add payroll variance report to scope</t>
        </is>
      </c>
      <c r="F5" s="70" t="inlineStr">
        <is>
          <t>New finance reporting requirement</t>
        </is>
      </c>
      <c r="G5" s="65" t="inlineStr">
        <is>
          <t>Medium</t>
        </is>
      </c>
      <c r="H5" s="69" t="n">
        <v>12</v>
      </c>
      <c r="I5" s="68" t="n">
        <v>28000</v>
      </c>
      <c r="J5" s="65" t="inlineStr">
        <is>
          <t>Medium</t>
        </is>
      </c>
      <c r="K5" s="65" t="inlineStr">
        <is>
          <t>High</t>
        </is>
      </c>
      <c r="L5" s="70" t="inlineStr">
        <is>
          <t>Adds 12 days and 28,000; no impact on go-live if built in sprint 4</t>
        </is>
      </c>
      <c r="M5" s="70" t="inlineStr">
        <is>
          <t>Approve - funded from contingency</t>
        </is>
      </c>
      <c r="N5" s="65" t="inlineStr">
        <is>
          <t>Pending</t>
        </is>
      </c>
      <c r="O5" s="65" t="n"/>
      <c r="P5" s="66" t="n"/>
      <c r="Q5" s="65" t="inlineStr">
        <is>
          <t>Not Started</t>
        </is>
      </c>
      <c r="R5" s="65">
        <f>IF(A5="","",IF(AND(N5&lt;&gt;"Approved",OR(Q5="In Progress",Q5="Complete")),"INVALID - NOT APPROVED",IF(N5="Pending","Awaiting Approval","OK")))</f>
        <v/>
      </c>
      <c r="S5" s="70" t="inlineStr">
        <is>
          <t>SAMPLE - awaiting steering approval</t>
        </is>
      </c>
      <c r="T5" s="69">
        <f>IF(OR(A5="",N5&lt;&gt;"Pending"),"",COUNTIF(N$5:N$34,"Pending")-COUNTIF(N$5:N5,"Pending")+1)</f>
        <v/>
      </c>
    </row>
    <row r="6" ht="28" customHeight="1">
      <c r="A6" s="65" t="inlineStr">
        <is>
          <t>CR-002</t>
        </is>
      </c>
      <c r="B6" s="65" t="inlineStr">
        <is>
          <t>Network Infrastructure Upgrade</t>
        </is>
      </c>
      <c r="C6" s="65" t="inlineStr">
        <is>
          <t>IT Operations Lead</t>
        </is>
      </c>
      <c r="D6" s="66" t="n">
        <v>46285</v>
      </c>
      <c r="E6" s="70" t="inlineStr">
        <is>
          <t>Upgrade switch count from 8 to 10</t>
        </is>
      </c>
      <c r="F6" s="70" t="inlineStr">
        <is>
          <t>Two extra floors in scope</t>
        </is>
      </c>
      <c r="G6" s="65" t="inlineStr">
        <is>
          <t>Medium</t>
        </is>
      </c>
      <c r="H6" s="69" t="n">
        <v>5</v>
      </c>
      <c r="I6" s="68" t="n">
        <v>15000</v>
      </c>
      <c r="J6" s="65" t="inlineStr">
        <is>
          <t>Low</t>
        </is>
      </c>
      <c r="K6" s="65" t="inlineStr">
        <is>
          <t>Medium</t>
        </is>
      </c>
      <c r="L6" s="70" t="inlineStr">
        <is>
          <t>5 extra days, 15,000 cost</t>
        </is>
      </c>
      <c r="M6" s="70" t="inlineStr">
        <is>
          <t>Approve</t>
        </is>
      </c>
      <c r="N6" s="65" t="inlineStr">
        <is>
          <t>Approved</t>
        </is>
      </c>
      <c r="O6" s="65" t="inlineStr">
        <is>
          <t>Priya Raman</t>
        </is>
      </c>
      <c r="P6" s="66" t="n">
        <v>46290</v>
      </c>
      <c r="Q6" s="65" t="inlineStr">
        <is>
          <t>Complete</t>
        </is>
      </c>
      <c r="R6" s="65">
        <f>IF(A6="","",IF(AND(N6&lt;&gt;"Approved",OR(Q6="In Progress",Q6="Complete")),"INVALID - NOT APPROVED",IF(N6="Pending","Awaiting Approval","OK")))</f>
        <v/>
      </c>
      <c r="S6" s="70" t="inlineStr">
        <is>
          <t>SAMPLE - ordered additional switches</t>
        </is>
      </c>
      <c r="T6" s="69">
        <f>IF(OR(A6="",N6&lt;&gt;"Pending"),"",COUNTIF(N$5:N$34,"Pending")-COUNTIF(N$5:N6,"Pending")+1)</f>
        <v/>
      </c>
    </row>
    <row r="7" ht="28" customHeight="1">
      <c r="A7" s="65" t="inlineStr">
        <is>
          <t>CR-003</t>
        </is>
      </c>
      <c r="B7" s="65" t="inlineStr">
        <is>
          <t>HR Management System</t>
        </is>
      </c>
      <c r="C7" s="65" t="inlineStr">
        <is>
          <t>HR Director</t>
        </is>
      </c>
      <c r="D7" s="66" t="n">
        <v>46301</v>
      </c>
      <c r="E7" s="70" t="inlineStr">
        <is>
          <t>Include mobile self-service module</t>
        </is>
      </c>
      <c r="F7" s="70" t="inlineStr">
        <is>
          <t>Executive request</t>
        </is>
      </c>
      <c r="G7" s="65" t="inlineStr">
        <is>
          <t>High</t>
        </is>
      </c>
      <c r="H7" s="69" t="n">
        <v>45</v>
      </c>
      <c r="I7" s="68" t="n">
        <v>95000</v>
      </c>
      <c r="J7" s="65" t="inlineStr">
        <is>
          <t>High</t>
        </is>
      </c>
      <c r="K7" s="65" t="inlineStr">
        <is>
          <t>High</t>
        </is>
      </c>
      <c r="L7" s="70" t="inlineStr">
        <is>
          <t>45 days and 95,000 - breaches approved amount</t>
        </is>
      </c>
      <c r="M7" s="70" t="inlineStr">
        <is>
          <t>Reject for phase 1, re-plan for phase 2</t>
        </is>
      </c>
      <c r="N7" s="65" t="inlineStr">
        <is>
          <t>Pending</t>
        </is>
      </c>
      <c r="O7" s="65" t="n"/>
      <c r="P7" s="66" t="n"/>
      <c r="Q7" s="65" t="inlineStr">
        <is>
          <t>Not Started</t>
        </is>
      </c>
      <c r="R7" s="65">
        <f>IF(A7="","",IF(AND(N7&lt;&gt;"Approved",OR(Q7="In Progress",Q7="Complete")),"INVALID - NOT APPROVED",IF(N7="Pending","Awaiting Approval","OK")))</f>
        <v/>
      </c>
      <c r="S7" s="70" t="inlineStr">
        <is>
          <t>SAMPLE - needs sponsor decision</t>
        </is>
      </c>
      <c r="T7" s="69">
        <f>IF(OR(A7="",N7&lt;&gt;"Pending"),"",COUNTIF(N$5:N$34,"Pending")-COUNTIF(N$5:N7,"Pending")+1)</f>
        <v/>
      </c>
    </row>
    <row r="8" ht="28" customHeight="1">
      <c r="A8" s="65" t="inlineStr">
        <is>
          <t>CR-004</t>
        </is>
      </c>
      <c r="B8" s="65" t="inlineStr">
        <is>
          <t>Website Development</t>
        </is>
      </c>
      <c r="C8" s="65" t="inlineStr">
        <is>
          <t>Marketing Manager</t>
        </is>
      </c>
      <c r="D8" s="66" t="n">
        <v>46293</v>
      </c>
      <c r="E8" s="70" t="inlineStr">
        <is>
          <t>Add e-commerce checkout</t>
        </is>
      </c>
      <c r="F8" s="70" t="inlineStr">
        <is>
          <t>Nice-to-have</t>
        </is>
      </c>
      <c r="G8" s="65" t="inlineStr">
        <is>
          <t>High</t>
        </is>
      </c>
      <c r="H8" s="69" t="n">
        <v>60</v>
      </c>
      <c r="I8" s="68" t="n">
        <v>70000</v>
      </c>
      <c r="J8" s="65" t="inlineStr">
        <is>
          <t>High</t>
        </is>
      </c>
      <c r="K8" s="65" t="inlineStr">
        <is>
          <t>Low</t>
        </is>
      </c>
      <c r="L8" s="70" t="inlineStr">
        <is>
          <t>Doubles remaining scope</t>
        </is>
      </c>
      <c r="M8" s="70" t="inlineStr">
        <is>
          <t>Reject - out of phase 1</t>
        </is>
      </c>
      <c r="N8" s="65" t="inlineStr">
        <is>
          <t>Rejected</t>
        </is>
      </c>
      <c r="O8" s="65" t="n"/>
      <c r="P8" s="66" t="n">
        <v>46296</v>
      </c>
      <c r="Q8" s="65" t="inlineStr">
        <is>
          <t>Not Started</t>
        </is>
      </c>
      <c r="R8" s="65">
        <f>IF(A8="","",IF(AND(N8&lt;&gt;"Approved",OR(Q8="In Progress",Q8="Complete")),"INVALID - NOT APPROVED",IF(N8="Pending","Awaiting Approval","OK")))</f>
        <v/>
      </c>
      <c r="S8" s="70" t="inlineStr">
        <is>
          <t>SAMPLE</t>
        </is>
      </c>
      <c r="T8" s="69">
        <f>IF(OR(A8="",N8&lt;&gt;"Pending"),"",COUNTIF(N$5:N$34,"Pending")-COUNTIF(N$5:N8,"Pending")+1)</f>
        <v/>
      </c>
    </row>
    <row r="9" ht="28" customHeight="1">
      <c r="A9" s="65" t="inlineStr">
        <is>
          <t>CR-005</t>
        </is>
      </c>
      <c r="B9" s="65" t="inlineStr">
        <is>
          <t>Office Security Upgrade</t>
        </is>
      </c>
      <c r="C9" s="65" t="inlineStr">
        <is>
          <t>Facilities Manager</t>
        </is>
      </c>
      <c r="D9" s="66" t="n">
        <v>46280</v>
      </c>
      <c r="E9" s="70" t="inlineStr">
        <is>
          <t>Add two extra camera locations</t>
        </is>
      </c>
      <c r="F9" s="70" t="inlineStr">
        <is>
          <t>Blind spots identified</t>
        </is>
      </c>
      <c r="G9" s="65" t="inlineStr">
        <is>
          <t>Low</t>
        </is>
      </c>
      <c r="H9" s="69" t="n">
        <v>2</v>
      </c>
      <c r="I9" s="68" t="n">
        <v>4500</v>
      </c>
      <c r="J9" s="65" t="inlineStr">
        <is>
          <t>Low</t>
        </is>
      </c>
      <c r="K9" s="65" t="inlineStr">
        <is>
          <t>Medium</t>
        </is>
      </c>
      <c r="L9" s="70" t="inlineStr">
        <is>
          <t>2 days, 4,500 cost - within contingency</t>
        </is>
      </c>
      <c r="M9" s="70" t="inlineStr">
        <is>
          <t>Approve</t>
        </is>
      </c>
      <c r="N9" s="65" t="inlineStr">
        <is>
          <t>Approved</t>
        </is>
      </c>
      <c r="O9" s="65" t="inlineStr">
        <is>
          <t>Priya Raman</t>
        </is>
      </c>
      <c r="P9" s="66" t="n">
        <v>46283</v>
      </c>
      <c r="Q9" s="65" t="inlineStr">
        <is>
          <t>In Progress</t>
        </is>
      </c>
      <c r="R9" s="65">
        <f>IF(A9="","",IF(AND(N9&lt;&gt;"Approved",OR(Q9="In Progress",Q9="Complete")),"INVALID - NOT APPROVED",IF(N9="Pending","Awaiting Approval","OK")))</f>
        <v/>
      </c>
      <c r="S9" s="70" t="inlineStr">
        <is>
          <t>SAMPLE</t>
        </is>
      </c>
      <c r="T9" s="69">
        <f>IF(OR(A9="",N9&lt;&gt;"Pending"),"",COUNTIF(N$5:N$34,"Pending")-COUNTIF(N$5:N9,"Pending")+1)</f>
        <v/>
      </c>
    </row>
    <row r="10" ht="28" customHeight="1">
      <c r="A10" s="65" t="n"/>
      <c r="B10" s="65" t="n"/>
      <c r="C10" s="65" t="n"/>
      <c r="D10" s="66" t="n"/>
      <c r="E10" s="70" t="n"/>
      <c r="F10" s="70" t="n"/>
      <c r="G10" s="65" t="n"/>
      <c r="H10" s="69" t="n"/>
      <c r="I10" s="68" t="n"/>
      <c r="J10" s="65" t="n"/>
      <c r="K10" s="65" t="n"/>
      <c r="L10" s="70" t="n"/>
      <c r="M10" s="70" t="n"/>
      <c r="N10" s="65" t="n"/>
      <c r="O10" s="65" t="n"/>
      <c r="P10" s="66" t="n"/>
      <c r="Q10" s="65" t="n"/>
      <c r="R10" s="65">
        <f>IF(A10="","",IF(AND(N10&lt;&gt;"Approved",OR(Q10="In Progress",Q10="Complete")),"INVALID - NOT APPROVED",IF(N10="Pending","Awaiting Approval","OK")))</f>
        <v/>
      </c>
      <c r="S10" s="70" t="n"/>
      <c r="T10" s="69">
        <f>IF(OR(A10="",N10&lt;&gt;"Pending"),"",COUNTIF(N$5:N$34,"Pending")-COUNTIF(N$5:N10,"Pending")+1)</f>
        <v/>
      </c>
    </row>
    <row r="11" ht="28" customHeight="1">
      <c r="A11" s="65" t="n"/>
      <c r="B11" s="65" t="n"/>
      <c r="C11" s="65" t="n"/>
      <c r="D11" s="66" t="n"/>
      <c r="E11" s="70" t="n"/>
      <c r="F11" s="70" t="n"/>
      <c r="G11" s="65" t="n"/>
      <c r="H11" s="69" t="n"/>
      <c r="I11" s="68" t="n"/>
      <c r="J11" s="65" t="n"/>
      <c r="K11" s="65" t="n"/>
      <c r="L11" s="70" t="n"/>
      <c r="M11" s="70" t="n"/>
      <c r="N11" s="65" t="n"/>
      <c r="O11" s="65" t="n"/>
      <c r="P11" s="66" t="n"/>
      <c r="Q11" s="65" t="n"/>
      <c r="R11" s="65">
        <f>IF(A11="","",IF(AND(N11&lt;&gt;"Approved",OR(Q11="In Progress",Q11="Complete")),"INVALID - NOT APPROVED",IF(N11="Pending","Awaiting Approval","OK")))</f>
        <v/>
      </c>
      <c r="S11" s="70" t="n"/>
      <c r="T11" s="69">
        <f>IF(OR(A11="",N11&lt;&gt;"Pending"),"",COUNTIF(N$5:N$34,"Pending")-COUNTIF(N$5:N11,"Pending")+1)</f>
        <v/>
      </c>
    </row>
    <row r="12" ht="28" customHeight="1">
      <c r="A12" s="65" t="n"/>
      <c r="B12" s="65" t="n"/>
      <c r="C12" s="65" t="n"/>
      <c r="D12" s="66" t="n"/>
      <c r="E12" s="70" t="n"/>
      <c r="F12" s="70" t="n"/>
      <c r="G12" s="65" t="n"/>
      <c r="H12" s="69" t="n"/>
      <c r="I12" s="68" t="n"/>
      <c r="J12" s="65" t="n"/>
      <c r="K12" s="65" t="n"/>
      <c r="L12" s="70" t="n"/>
      <c r="M12" s="70" t="n"/>
      <c r="N12" s="65" t="n"/>
      <c r="O12" s="65" t="n"/>
      <c r="P12" s="66" t="n"/>
      <c r="Q12" s="65" t="n"/>
      <c r="R12" s="65">
        <f>IF(A12="","",IF(AND(N12&lt;&gt;"Approved",OR(Q12="In Progress",Q12="Complete")),"INVALID - NOT APPROVED",IF(N12="Pending","Awaiting Approval","OK")))</f>
        <v/>
      </c>
      <c r="S12" s="70" t="n"/>
      <c r="T12" s="69">
        <f>IF(OR(A12="",N12&lt;&gt;"Pending"),"",COUNTIF(N$5:N$34,"Pending")-COUNTIF(N$5:N12,"Pending")+1)</f>
        <v/>
      </c>
    </row>
    <row r="13" ht="28" customHeight="1">
      <c r="A13" s="65" t="n"/>
      <c r="B13" s="65" t="n"/>
      <c r="C13" s="65" t="n"/>
      <c r="D13" s="66" t="n"/>
      <c r="E13" s="70" t="n"/>
      <c r="F13" s="70" t="n"/>
      <c r="G13" s="65" t="n"/>
      <c r="H13" s="69" t="n"/>
      <c r="I13" s="68" t="n"/>
      <c r="J13" s="65" t="n"/>
      <c r="K13" s="65" t="n"/>
      <c r="L13" s="70" t="n"/>
      <c r="M13" s="70" t="n"/>
      <c r="N13" s="65" t="n"/>
      <c r="O13" s="65" t="n"/>
      <c r="P13" s="66" t="n"/>
      <c r="Q13" s="65" t="n"/>
      <c r="R13" s="65">
        <f>IF(A13="","",IF(AND(N13&lt;&gt;"Approved",OR(Q13="In Progress",Q13="Complete")),"INVALID - NOT APPROVED",IF(N13="Pending","Awaiting Approval","OK")))</f>
        <v/>
      </c>
      <c r="S13" s="70" t="n"/>
      <c r="T13" s="69">
        <f>IF(OR(A13="",N13&lt;&gt;"Pending"),"",COUNTIF(N$5:N$34,"Pending")-COUNTIF(N$5:N13,"Pending")+1)</f>
        <v/>
      </c>
    </row>
    <row r="14" ht="28" customHeight="1">
      <c r="A14" s="65" t="n"/>
      <c r="B14" s="65" t="n"/>
      <c r="C14" s="65" t="n"/>
      <c r="D14" s="66" t="n"/>
      <c r="E14" s="70" t="n"/>
      <c r="F14" s="70" t="n"/>
      <c r="G14" s="65" t="n"/>
      <c r="H14" s="69" t="n"/>
      <c r="I14" s="68" t="n"/>
      <c r="J14" s="65" t="n"/>
      <c r="K14" s="65" t="n"/>
      <c r="L14" s="70" t="n"/>
      <c r="M14" s="70" t="n"/>
      <c r="N14" s="65" t="n"/>
      <c r="O14" s="65" t="n"/>
      <c r="P14" s="66" t="n"/>
      <c r="Q14" s="65" t="n"/>
      <c r="R14" s="65">
        <f>IF(A14="","",IF(AND(N14&lt;&gt;"Approved",OR(Q14="In Progress",Q14="Complete")),"INVALID - NOT APPROVED",IF(N14="Pending","Awaiting Approval","OK")))</f>
        <v/>
      </c>
      <c r="S14" s="70" t="n"/>
      <c r="T14" s="69">
        <f>IF(OR(A14="",N14&lt;&gt;"Pending"),"",COUNTIF(N$5:N$34,"Pending")-COUNTIF(N$5:N14,"Pending")+1)</f>
        <v/>
      </c>
    </row>
    <row r="15" ht="28" customHeight="1">
      <c r="A15" s="65" t="n"/>
      <c r="B15" s="65" t="n"/>
      <c r="C15" s="65" t="n"/>
      <c r="D15" s="66" t="n"/>
      <c r="E15" s="70" t="n"/>
      <c r="F15" s="70" t="n"/>
      <c r="G15" s="65" t="n"/>
      <c r="H15" s="69" t="n"/>
      <c r="I15" s="68" t="n"/>
      <c r="J15" s="65" t="n"/>
      <c r="K15" s="65" t="n"/>
      <c r="L15" s="70" t="n"/>
      <c r="M15" s="70" t="n"/>
      <c r="N15" s="65" t="n"/>
      <c r="O15" s="65" t="n"/>
      <c r="P15" s="66" t="n"/>
      <c r="Q15" s="65" t="n"/>
      <c r="R15" s="65">
        <f>IF(A15="","",IF(AND(N15&lt;&gt;"Approved",OR(Q15="In Progress",Q15="Complete")),"INVALID - NOT APPROVED",IF(N15="Pending","Awaiting Approval","OK")))</f>
        <v/>
      </c>
      <c r="S15" s="70" t="n"/>
      <c r="T15" s="69">
        <f>IF(OR(A15="",N15&lt;&gt;"Pending"),"",COUNTIF(N$5:N$34,"Pending")-COUNTIF(N$5:N15,"Pending")+1)</f>
        <v/>
      </c>
    </row>
    <row r="16" ht="28" customHeight="1">
      <c r="A16" s="65" t="n"/>
      <c r="B16" s="65" t="n"/>
      <c r="C16" s="65" t="n"/>
      <c r="D16" s="66" t="n"/>
      <c r="E16" s="70" t="n"/>
      <c r="F16" s="70" t="n"/>
      <c r="G16" s="65" t="n"/>
      <c r="H16" s="69" t="n"/>
      <c r="I16" s="68" t="n"/>
      <c r="J16" s="65" t="n"/>
      <c r="K16" s="65" t="n"/>
      <c r="L16" s="70" t="n"/>
      <c r="M16" s="70" t="n"/>
      <c r="N16" s="65" t="n"/>
      <c r="O16" s="65" t="n"/>
      <c r="P16" s="66" t="n"/>
      <c r="Q16" s="65" t="n"/>
      <c r="R16" s="65">
        <f>IF(A16="","",IF(AND(N16&lt;&gt;"Approved",OR(Q16="In Progress",Q16="Complete")),"INVALID - NOT APPROVED",IF(N16="Pending","Awaiting Approval","OK")))</f>
        <v/>
      </c>
      <c r="S16" s="70" t="n"/>
      <c r="T16" s="69">
        <f>IF(OR(A16="",N16&lt;&gt;"Pending"),"",COUNTIF(N$5:N$34,"Pending")-COUNTIF(N$5:N16,"Pending")+1)</f>
        <v/>
      </c>
    </row>
    <row r="17" ht="28" customHeight="1">
      <c r="A17" s="65" t="n"/>
      <c r="B17" s="65" t="n"/>
      <c r="C17" s="65" t="n"/>
      <c r="D17" s="66" t="n"/>
      <c r="E17" s="70" t="n"/>
      <c r="F17" s="70" t="n"/>
      <c r="G17" s="65" t="n"/>
      <c r="H17" s="69" t="n"/>
      <c r="I17" s="68" t="n"/>
      <c r="J17" s="65" t="n"/>
      <c r="K17" s="65" t="n"/>
      <c r="L17" s="70" t="n"/>
      <c r="M17" s="70" t="n"/>
      <c r="N17" s="65" t="n"/>
      <c r="O17" s="65" t="n"/>
      <c r="P17" s="66" t="n"/>
      <c r="Q17" s="65" t="n"/>
      <c r="R17" s="65">
        <f>IF(A17="","",IF(AND(N17&lt;&gt;"Approved",OR(Q17="In Progress",Q17="Complete")),"INVALID - NOT APPROVED",IF(N17="Pending","Awaiting Approval","OK")))</f>
        <v/>
      </c>
      <c r="S17" s="70" t="n"/>
      <c r="T17" s="69">
        <f>IF(OR(A17="",N17&lt;&gt;"Pending"),"",COUNTIF(N$5:N$34,"Pending")-COUNTIF(N$5:N17,"Pending")+1)</f>
        <v/>
      </c>
    </row>
    <row r="18" ht="28" customHeight="1">
      <c r="A18" s="65" t="n"/>
      <c r="B18" s="65" t="n"/>
      <c r="C18" s="65" t="n"/>
      <c r="D18" s="66" t="n"/>
      <c r="E18" s="70" t="n"/>
      <c r="F18" s="70" t="n"/>
      <c r="G18" s="65" t="n"/>
      <c r="H18" s="69" t="n"/>
      <c r="I18" s="68" t="n"/>
      <c r="J18" s="65" t="n"/>
      <c r="K18" s="65" t="n"/>
      <c r="L18" s="70" t="n"/>
      <c r="M18" s="70" t="n"/>
      <c r="N18" s="65" t="n"/>
      <c r="O18" s="65" t="n"/>
      <c r="P18" s="66" t="n"/>
      <c r="Q18" s="65" t="n"/>
      <c r="R18" s="65">
        <f>IF(A18="","",IF(AND(N18&lt;&gt;"Approved",OR(Q18="In Progress",Q18="Complete")),"INVALID - NOT APPROVED",IF(N18="Pending","Awaiting Approval","OK")))</f>
        <v/>
      </c>
      <c r="S18" s="70" t="n"/>
      <c r="T18" s="69">
        <f>IF(OR(A18="",N18&lt;&gt;"Pending"),"",COUNTIF(N$5:N$34,"Pending")-COUNTIF(N$5:N18,"Pending")+1)</f>
        <v/>
      </c>
    </row>
    <row r="19" ht="28" customHeight="1">
      <c r="A19" s="65" t="n"/>
      <c r="B19" s="65" t="n"/>
      <c r="C19" s="65" t="n"/>
      <c r="D19" s="66" t="n"/>
      <c r="E19" s="70" t="n"/>
      <c r="F19" s="70" t="n"/>
      <c r="G19" s="65" t="n"/>
      <c r="H19" s="69" t="n"/>
      <c r="I19" s="68" t="n"/>
      <c r="J19" s="65" t="n"/>
      <c r="K19" s="65" t="n"/>
      <c r="L19" s="70" t="n"/>
      <c r="M19" s="70" t="n"/>
      <c r="N19" s="65" t="n"/>
      <c r="O19" s="65" t="n"/>
      <c r="P19" s="66" t="n"/>
      <c r="Q19" s="65" t="n"/>
      <c r="R19" s="65">
        <f>IF(A19="","",IF(AND(N19&lt;&gt;"Approved",OR(Q19="In Progress",Q19="Complete")),"INVALID - NOT APPROVED",IF(N19="Pending","Awaiting Approval","OK")))</f>
        <v/>
      </c>
      <c r="S19" s="70" t="n"/>
      <c r="T19" s="69">
        <f>IF(OR(A19="",N19&lt;&gt;"Pending"),"",COUNTIF(N$5:N$34,"Pending")-COUNTIF(N$5:N19,"Pending")+1)</f>
        <v/>
      </c>
    </row>
    <row r="20" ht="28" customHeight="1">
      <c r="A20" s="65" t="n"/>
      <c r="B20" s="65" t="n"/>
      <c r="C20" s="65" t="n"/>
      <c r="D20" s="66" t="n"/>
      <c r="E20" s="70" t="n"/>
      <c r="F20" s="70" t="n"/>
      <c r="G20" s="65" t="n"/>
      <c r="H20" s="69" t="n"/>
      <c r="I20" s="68" t="n"/>
      <c r="J20" s="65" t="n"/>
      <c r="K20" s="65" t="n"/>
      <c r="L20" s="70" t="n"/>
      <c r="M20" s="70" t="n"/>
      <c r="N20" s="65" t="n"/>
      <c r="O20" s="65" t="n"/>
      <c r="P20" s="66" t="n"/>
      <c r="Q20" s="65" t="n"/>
      <c r="R20" s="65">
        <f>IF(A20="","",IF(AND(N20&lt;&gt;"Approved",OR(Q20="In Progress",Q20="Complete")),"INVALID - NOT APPROVED",IF(N20="Pending","Awaiting Approval","OK")))</f>
        <v/>
      </c>
      <c r="S20" s="70" t="n"/>
      <c r="T20" s="69">
        <f>IF(OR(A20="",N20&lt;&gt;"Pending"),"",COUNTIF(N$5:N$34,"Pending")-COUNTIF(N$5:N20,"Pending")+1)</f>
        <v/>
      </c>
    </row>
    <row r="21" ht="28" customHeight="1">
      <c r="A21" s="65" t="n"/>
      <c r="B21" s="65" t="n"/>
      <c r="C21" s="65" t="n"/>
      <c r="D21" s="66" t="n"/>
      <c r="E21" s="70" t="n"/>
      <c r="F21" s="70" t="n"/>
      <c r="G21" s="65" t="n"/>
      <c r="H21" s="69" t="n"/>
      <c r="I21" s="68" t="n"/>
      <c r="J21" s="65" t="n"/>
      <c r="K21" s="65" t="n"/>
      <c r="L21" s="70" t="n"/>
      <c r="M21" s="70" t="n"/>
      <c r="N21" s="65" t="n"/>
      <c r="O21" s="65" t="n"/>
      <c r="P21" s="66" t="n"/>
      <c r="Q21" s="65" t="n"/>
      <c r="R21" s="65">
        <f>IF(A21="","",IF(AND(N21&lt;&gt;"Approved",OR(Q21="In Progress",Q21="Complete")),"INVALID - NOT APPROVED",IF(N21="Pending","Awaiting Approval","OK")))</f>
        <v/>
      </c>
      <c r="S21" s="70" t="n"/>
      <c r="T21" s="69">
        <f>IF(OR(A21="",N21&lt;&gt;"Pending"),"",COUNTIF(N$5:N$34,"Pending")-COUNTIF(N$5:N21,"Pending")+1)</f>
        <v/>
      </c>
    </row>
    <row r="22" ht="28" customHeight="1">
      <c r="A22" s="65" t="n"/>
      <c r="B22" s="65" t="n"/>
      <c r="C22" s="65" t="n"/>
      <c r="D22" s="66" t="n"/>
      <c r="E22" s="70" t="n"/>
      <c r="F22" s="70" t="n"/>
      <c r="G22" s="65" t="n"/>
      <c r="H22" s="69" t="n"/>
      <c r="I22" s="68" t="n"/>
      <c r="J22" s="65" t="n"/>
      <c r="K22" s="65" t="n"/>
      <c r="L22" s="70" t="n"/>
      <c r="M22" s="70" t="n"/>
      <c r="N22" s="65" t="n"/>
      <c r="O22" s="65" t="n"/>
      <c r="P22" s="66" t="n"/>
      <c r="Q22" s="65" t="n"/>
      <c r="R22" s="65">
        <f>IF(A22="","",IF(AND(N22&lt;&gt;"Approved",OR(Q22="In Progress",Q22="Complete")),"INVALID - NOT APPROVED",IF(N22="Pending","Awaiting Approval","OK")))</f>
        <v/>
      </c>
      <c r="S22" s="70" t="n"/>
      <c r="T22" s="69">
        <f>IF(OR(A22="",N22&lt;&gt;"Pending"),"",COUNTIF(N$5:N$34,"Pending")-COUNTIF(N$5:N22,"Pending")+1)</f>
        <v/>
      </c>
    </row>
    <row r="23" ht="28" customHeight="1">
      <c r="A23" s="65" t="n"/>
      <c r="B23" s="65" t="n"/>
      <c r="C23" s="65" t="n"/>
      <c r="D23" s="66" t="n"/>
      <c r="E23" s="70" t="n"/>
      <c r="F23" s="70" t="n"/>
      <c r="G23" s="65" t="n"/>
      <c r="H23" s="69" t="n"/>
      <c r="I23" s="68" t="n"/>
      <c r="J23" s="65" t="n"/>
      <c r="K23" s="65" t="n"/>
      <c r="L23" s="70" t="n"/>
      <c r="M23" s="70" t="n"/>
      <c r="N23" s="65" t="n"/>
      <c r="O23" s="65" t="n"/>
      <c r="P23" s="66" t="n"/>
      <c r="Q23" s="65" t="n"/>
      <c r="R23" s="65">
        <f>IF(A23="","",IF(AND(N23&lt;&gt;"Approved",OR(Q23="In Progress",Q23="Complete")),"INVALID - NOT APPROVED",IF(N23="Pending","Awaiting Approval","OK")))</f>
        <v/>
      </c>
      <c r="S23" s="70" t="n"/>
      <c r="T23" s="69">
        <f>IF(OR(A23="",N23&lt;&gt;"Pending"),"",COUNTIF(N$5:N$34,"Pending")-COUNTIF(N$5:N23,"Pending")+1)</f>
        <v/>
      </c>
    </row>
    <row r="24" ht="28" customHeight="1">
      <c r="A24" s="65" t="n"/>
      <c r="B24" s="65" t="n"/>
      <c r="C24" s="65" t="n"/>
      <c r="D24" s="66" t="n"/>
      <c r="E24" s="70" t="n"/>
      <c r="F24" s="70" t="n"/>
      <c r="G24" s="65" t="n"/>
      <c r="H24" s="69" t="n"/>
      <c r="I24" s="68" t="n"/>
      <c r="J24" s="65" t="n"/>
      <c r="K24" s="65" t="n"/>
      <c r="L24" s="70" t="n"/>
      <c r="M24" s="70" t="n"/>
      <c r="N24" s="65" t="n"/>
      <c r="O24" s="65" t="n"/>
      <c r="P24" s="66" t="n"/>
      <c r="Q24" s="65" t="n"/>
      <c r="R24" s="65">
        <f>IF(A24="","",IF(AND(N24&lt;&gt;"Approved",OR(Q24="In Progress",Q24="Complete")),"INVALID - NOT APPROVED",IF(N24="Pending","Awaiting Approval","OK")))</f>
        <v/>
      </c>
      <c r="S24" s="70" t="n"/>
      <c r="T24" s="69">
        <f>IF(OR(A24="",N24&lt;&gt;"Pending"),"",COUNTIF(N$5:N$34,"Pending")-COUNTIF(N$5:N24,"Pending")+1)</f>
        <v/>
      </c>
    </row>
    <row r="25" ht="28" customHeight="1">
      <c r="A25" s="65" t="n"/>
      <c r="B25" s="65" t="n"/>
      <c r="C25" s="65" t="n"/>
      <c r="D25" s="66" t="n"/>
      <c r="E25" s="70" t="n"/>
      <c r="F25" s="70" t="n"/>
      <c r="G25" s="65" t="n"/>
      <c r="H25" s="69" t="n"/>
      <c r="I25" s="68" t="n"/>
      <c r="J25" s="65" t="n"/>
      <c r="K25" s="65" t="n"/>
      <c r="L25" s="70" t="n"/>
      <c r="M25" s="70" t="n"/>
      <c r="N25" s="65" t="n"/>
      <c r="O25" s="65" t="n"/>
      <c r="P25" s="66" t="n"/>
      <c r="Q25" s="65" t="n"/>
      <c r="R25" s="65">
        <f>IF(A25="","",IF(AND(N25&lt;&gt;"Approved",OR(Q25="In Progress",Q25="Complete")),"INVALID - NOT APPROVED",IF(N25="Pending","Awaiting Approval","OK")))</f>
        <v/>
      </c>
      <c r="S25" s="70" t="n"/>
      <c r="T25" s="69">
        <f>IF(OR(A25="",N25&lt;&gt;"Pending"),"",COUNTIF(N$5:N$34,"Pending")-COUNTIF(N$5:N25,"Pending")+1)</f>
        <v/>
      </c>
    </row>
    <row r="26" ht="28" customHeight="1">
      <c r="A26" s="65" t="n"/>
      <c r="B26" s="65" t="n"/>
      <c r="C26" s="65" t="n"/>
      <c r="D26" s="66" t="n"/>
      <c r="E26" s="70" t="n"/>
      <c r="F26" s="70" t="n"/>
      <c r="G26" s="65" t="n"/>
      <c r="H26" s="69" t="n"/>
      <c r="I26" s="68" t="n"/>
      <c r="J26" s="65" t="n"/>
      <c r="K26" s="65" t="n"/>
      <c r="L26" s="70" t="n"/>
      <c r="M26" s="70" t="n"/>
      <c r="N26" s="65" t="n"/>
      <c r="O26" s="65" t="n"/>
      <c r="P26" s="66" t="n"/>
      <c r="Q26" s="65" t="n"/>
      <c r="R26" s="65">
        <f>IF(A26="","",IF(AND(N26&lt;&gt;"Approved",OR(Q26="In Progress",Q26="Complete")),"INVALID - NOT APPROVED",IF(N26="Pending","Awaiting Approval","OK")))</f>
        <v/>
      </c>
      <c r="S26" s="70" t="n"/>
      <c r="T26" s="69">
        <f>IF(OR(A26="",N26&lt;&gt;"Pending"),"",COUNTIF(N$5:N$34,"Pending")-COUNTIF(N$5:N26,"Pending")+1)</f>
        <v/>
      </c>
    </row>
    <row r="27" ht="28" customHeight="1">
      <c r="A27" s="65" t="n"/>
      <c r="B27" s="65" t="n"/>
      <c r="C27" s="65" t="n"/>
      <c r="D27" s="66" t="n"/>
      <c r="E27" s="70" t="n"/>
      <c r="F27" s="70" t="n"/>
      <c r="G27" s="65" t="n"/>
      <c r="H27" s="69" t="n"/>
      <c r="I27" s="68" t="n"/>
      <c r="J27" s="65" t="n"/>
      <c r="K27" s="65" t="n"/>
      <c r="L27" s="70" t="n"/>
      <c r="M27" s="70" t="n"/>
      <c r="N27" s="65" t="n"/>
      <c r="O27" s="65" t="n"/>
      <c r="P27" s="66" t="n"/>
      <c r="Q27" s="65" t="n"/>
      <c r="R27" s="65">
        <f>IF(A27="","",IF(AND(N27&lt;&gt;"Approved",OR(Q27="In Progress",Q27="Complete")),"INVALID - NOT APPROVED",IF(N27="Pending","Awaiting Approval","OK")))</f>
        <v/>
      </c>
      <c r="S27" s="70" t="n"/>
      <c r="T27" s="69">
        <f>IF(OR(A27="",N27&lt;&gt;"Pending"),"",COUNTIF(N$5:N$34,"Pending")-COUNTIF(N$5:N27,"Pending")+1)</f>
        <v/>
      </c>
    </row>
    <row r="28" ht="28" customHeight="1">
      <c r="A28" s="65" t="n"/>
      <c r="B28" s="65" t="n"/>
      <c r="C28" s="65" t="n"/>
      <c r="D28" s="66" t="n"/>
      <c r="E28" s="70" t="n"/>
      <c r="F28" s="70" t="n"/>
      <c r="G28" s="65" t="n"/>
      <c r="H28" s="69" t="n"/>
      <c r="I28" s="68" t="n"/>
      <c r="J28" s="65" t="n"/>
      <c r="K28" s="65" t="n"/>
      <c r="L28" s="70" t="n"/>
      <c r="M28" s="70" t="n"/>
      <c r="N28" s="65" t="n"/>
      <c r="O28" s="65" t="n"/>
      <c r="P28" s="66" t="n"/>
      <c r="Q28" s="65" t="n"/>
      <c r="R28" s="65">
        <f>IF(A28="","",IF(AND(N28&lt;&gt;"Approved",OR(Q28="In Progress",Q28="Complete")),"INVALID - NOT APPROVED",IF(N28="Pending","Awaiting Approval","OK")))</f>
        <v/>
      </c>
      <c r="S28" s="70" t="n"/>
      <c r="T28" s="69">
        <f>IF(OR(A28="",N28&lt;&gt;"Pending"),"",COUNTIF(N$5:N$34,"Pending")-COUNTIF(N$5:N28,"Pending")+1)</f>
        <v/>
      </c>
    </row>
    <row r="29" ht="28" customHeight="1">
      <c r="A29" s="65" t="n"/>
      <c r="B29" s="65" t="n"/>
      <c r="C29" s="65" t="n"/>
      <c r="D29" s="66" t="n"/>
      <c r="E29" s="70" t="n"/>
      <c r="F29" s="70" t="n"/>
      <c r="G29" s="65" t="n"/>
      <c r="H29" s="69" t="n"/>
      <c r="I29" s="68" t="n"/>
      <c r="J29" s="65" t="n"/>
      <c r="K29" s="65" t="n"/>
      <c r="L29" s="70" t="n"/>
      <c r="M29" s="70" t="n"/>
      <c r="N29" s="65" t="n"/>
      <c r="O29" s="65" t="n"/>
      <c r="P29" s="66" t="n"/>
      <c r="Q29" s="65" t="n"/>
      <c r="R29" s="65">
        <f>IF(A29="","",IF(AND(N29&lt;&gt;"Approved",OR(Q29="In Progress",Q29="Complete")),"INVALID - NOT APPROVED",IF(N29="Pending","Awaiting Approval","OK")))</f>
        <v/>
      </c>
      <c r="S29" s="70" t="n"/>
      <c r="T29" s="69">
        <f>IF(OR(A29="",N29&lt;&gt;"Pending"),"",COUNTIF(N$5:N$34,"Pending")-COUNTIF(N$5:N29,"Pending")+1)</f>
        <v/>
      </c>
    </row>
    <row r="30" ht="28" customHeight="1">
      <c r="A30" s="65" t="n"/>
      <c r="B30" s="65" t="n"/>
      <c r="C30" s="65" t="n"/>
      <c r="D30" s="66" t="n"/>
      <c r="E30" s="70" t="n"/>
      <c r="F30" s="70" t="n"/>
      <c r="G30" s="65" t="n"/>
      <c r="H30" s="69" t="n"/>
      <c r="I30" s="68" t="n"/>
      <c r="J30" s="65" t="n"/>
      <c r="K30" s="65" t="n"/>
      <c r="L30" s="70" t="n"/>
      <c r="M30" s="70" t="n"/>
      <c r="N30" s="65" t="n"/>
      <c r="O30" s="65" t="n"/>
      <c r="P30" s="66" t="n"/>
      <c r="Q30" s="65" t="n"/>
      <c r="R30" s="65">
        <f>IF(A30="","",IF(AND(N30&lt;&gt;"Approved",OR(Q30="In Progress",Q30="Complete")),"INVALID - NOT APPROVED",IF(N30="Pending","Awaiting Approval","OK")))</f>
        <v/>
      </c>
      <c r="S30" s="70" t="n"/>
      <c r="T30" s="69">
        <f>IF(OR(A30="",N30&lt;&gt;"Pending"),"",COUNTIF(N$5:N$34,"Pending")-COUNTIF(N$5:N30,"Pending")+1)</f>
        <v/>
      </c>
    </row>
    <row r="31" ht="28" customHeight="1">
      <c r="A31" s="65" t="n"/>
      <c r="B31" s="65" t="n"/>
      <c r="C31" s="65" t="n"/>
      <c r="D31" s="66" t="n"/>
      <c r="E31" s="70" t="n"/>
      <c r="F31" s="70" t="n"/>
      <c r="G31" s="65" t="n"/>
      <c r="H31" s="69" t="n"/>
      <c r="I31" s="68" t="n"/>
      <c r="J31" s="65" t="n"/>
      <c r="K31" s="65" t="n"/>
      <c r="L31" s="70" t="n"/>
      <c r="M31" s="70" t="n"/>
      <c r="N31" s="65" t="n"/>
      <c r="O31" s="65" t="n"/>
      <c r="P31" s="66" t="n"/>
      <c r="Q31" s="65" t="n"/>
      <c r="R31" s="65">
        <f>IF(A31="","",IF(AND(N31&lt;&gt;"Approved",OR(Q31="In Progress",Q31="Complete")),"INVALID - NOT APPROVED",IF(N31="Pending","Awaiting Approval","OK")))</f>
        <v/>
      </c>
      <c r="S31" s="70" t="n"/>
      <c r="T31" s="69">
        <f>IF(OR(A31="",N31&lt;&gt;"Pending"),"",COUNTIF(N$5:N$34,"Pending")-COUNTIF(N$5:N31,"Pending")+1)</f>
        <v/>
      </c>
    </row>
    <row r="32" ht="28" customHeight="1">
      <c r="A32" s="65" t="n"/>
      <c r="B32" s="65" t="n"/>
      <c r="C32" s="65" t="n"/>
      <c r="D32" s="66" t="n"/>
      <c r="E32" s="70" t="n"/>
      <c r="F32" s="70" t="n"/>
      <c r="G32" s="65" t="n"/>
      <c r="H32" s="69" t="n"/>
      <c r="I32" s="68" t="n"/>
      <c r="J32" s="65" t="n"/>
      <c r="K32" s="65" t="n"/>
      <c r="L32" s="70" t="n"/>
      <c r="M32" s="70" t="n"/>
      <c r="N32" s="65" t="n"/>
      <c r="O32" s="65" t="n"/>
      <c r="P32" s="66" t="n"/>
      <c r="Q32" s="65" t="n"/>
      <c r="R32" s="65">
        <f>IF(A32="","",IF(AND(N32&lt;&gt;"Approved",OR(Q32="In Progress",Q32="Complete")),"INVALID - NOT APPROVED",IF(N32="Pending","Awaiting Approval","OK")))</f>
        <v/>
      </c>
      <c r="S32" s="70" t="n"/>
      <c r="T32" s="69">
        <f>IF(OR(A32="",N32&lt;&gt;"Pending"),"",COUNTIF(N$5:N$34,"Pending")-COUNTIF(N$5:N32,"Pending")+1)</f>
        <v/>
      </c>
    </row>
    <row r="33" ht="28" customHeight="1">
      <c r="A33" s="65" t="n"/>
      <c r="B33" s="65" t="n"/>
      <c r="C33" s="65" t="n"/>
      <c r="D33" s="66" t="n"/>
      <c r="E33" s="70" t="n"/>
      <c r="F33" s="70" t="n"/>
      <c r="G33" s="65" t="n"/>
      <c r="H33" s="69" t="n"/>
      <c r="I33" s="68" t="n"/>
      <c r="J33" s="65" t="n"/>
      <c r="K33" s="65" t="n"/>
      <c r="L33" s="70" t="n"/>
      <c r="M33" s="70" t="n"/>
      <c r="N33" s="65" t="n"/>
      <c r="O33" s="65" t="n"/>
      <c r="P33" s="66" t="n"/>
      <c r="Q33" s="65" t="n"/>
      <c r="R33" s="65">
        <f>IF(A33="","",IF(AND(N33&lt;&gt;"Approved",OR(Q33="In Progress",Q33="Complete")),"INVALID - NOT APPROVED",IF(N33="Pending","Awaiting Approval","OK")))</f>
        <v/>
      </c>
      <c r="S33" s="70" t="n"/>
      <c r="T33" s="69">
        <f>IF(OR(A33="",N33&lt;&gt;"Pending"),"",COUNTIF(N$5:N$34,"Pending")-COUNTIF(N$5:N33,"Pending")+1)</f>
        <v/>
      </c>
    </row>
    <row r="34" ht="28" customHeight="1">
      <c r="A34" s="65" t="n"/>
      <c r="B34" s="65" t="n"/>
      <c r="C34" s="65" t="n"/>
      <c r="D34" s="66" t="n"/>
      <c r="E34" s="70" t="n"/>
      <c r="F34" s="70" t="n"/>
      <c r="G34" s="65" t="n"/>
      <c r="H34" s="69" t="n"/>
      <c r="I34" s="68" t="n"/>
      <c r="J34" s="65" t="n"/>
      <c r="K34" s="65" t="n"/>
      <c r="L34" s="70" t="n"/>
      <c r="M34" s="70" t="n"/>
      <c r="N34" s="65" t="n"/>
      <c r="O34" s="65" t="n"/>
      <c r="P34" s="66" t="n"/>
      <c r="Q34" s="65" t="n"/>
      <c r="R34" s="65">
        <f>IF(A34="","",IF(AND(N34&lt;&gt;"Approved",OR(Q34="In Progress",Q34="Complete")),"INVALID - NOT APPROVED",IF(N34="Pending","Awaiting Approval","OK")))</f>
        <v/>
      </c>
      <c r="S34" s="70" t="n"/>
      <c r="T34" s="69">
        <f>IF(OR(A34="",N34&lt;&gt;"Pending"),"",COUNTIF(N$5:N$34,"Pending")-COUNTIF(N$5:N34,"Pending")+1)</f>
        <v/>
      </c>
    </row>
  </sheetData>
  <mergeCells count="3">
    <mergeCell ref="A1:T1"/>
    <mergeCell ref="A3:T3"/>
    <mergeCell ref="A2:T2"/>
  </mergeCells>
  <conditionalFormatting sqref="N5:N34">
    <cfRule type="expression" priority="1" dxfId="4" stopIfTrue="1">
      <formula>EXACT($N5,"Pending")</formula>
    </cfRule>
    <cfRule type="expression" priority="2" dxfId="3" stopIfTrue="1">
      <formula>EXACT($N5,"Approved")</formula>
    </cfRule>
    <cfRule type="expression" priority="3" dxfId="5" stopIfTrue="1">
      <formula>EXACT($N5,"Rejected")</formula>
    </cfRule>
  </conditionalFormatting>
  <conditionalFormatting sqref="R5:R34">
    <cfRule type="expression" priority="4" dxfId="3" stopIfTrue="1">
      <formula>EXACT($R5,"OK")</formula>
    </cfRule>
    <cfRule type="expression" priority="5" dxfId="4" stopIfTrue="1">
      <formula>EXACT($R5,"Awaiting Approval")</formula>
    </cfRule>
    <cfRule type="expression" priority="6" dxfId="5" stopIfTrue="1">
      <formula>EXACT($R5,"INVALID - NOT APPROVED")</formula>
    </cfRule>
  </conditionalFormatting>
  <conditionalFormatting sqref="A5:A34">
    <cfRule type="expression" priority="7" dxfId="5" stopIfTrue="0">
      <formula>AND($A5&lt;&gt;"",COUNTIF($A$5:$A$34,$A5)&gt;1)</formula>
    </cfRule>
  </conditionalFormatting>
  <conditionalFormatting sqref="C5:C34">
    <cfRule type="expression" priority="8" dxfId="4" stopIfTrue="0">
      <formula>AND($A5&lt;&gt;"",C5="")</formula>
    </cfRule>
  </conditionalFormatting>
  <conditionalFormatting sqref="D5:D34">
    <cfRule type="expression" priority="9" dxfId="4" stopIfTrue="0">
      <formula>AND($A5&lt;&gt;"",D5="")</formula>
    </cfRule>
  </conditionalFormatting>
  <dataValidations count="7">
    <dataValidation sqref="B5:B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G5:G34" showDropDown="0" showInputMessage="1" showErrorMessage="1" allowBlank="1" errorTitle="Value not allowed" error="Pick a value from the drop-down list (L_HML)." promptTitle="Select" prompt="Choose a value from the drop-down list." type="list" errorStyle="stop">
      <formula1>L_HML</formula1>
    </dataValidation>
    <dataValidation sqref="J5:J34" showDropDown="0" showInputMessage="1" showErrorMessage="1" allowBlank="1" errorTitle="Value not allowed" error="Pick a value from the drop-down list (L_HML)." promptTitle="Select" prompt="Choose a value from the drop-down list." type="list" errorStyle="stop">
      <formula1>L_HML</formula1>
    </dataValidation>
    <dataValidation sqref="K5:K34" showDropDown="0" showInputMessage="1" showErrorMessage="1" allowBlank="1" errorTitle="Value not allowed" error="Pick a value from the drop-down list (L_Priority)." promptTitle="Select" prompt="Choose a value from the drop-down list." type="list" errorStyle="stop">
      <formula1>L_Priority</formula1>
    </dataValidation>
    <dataValidation sqref="N5:N34" showDropDown="0" showInputMessage="1" showErrorMessage="1" allowBlank="1" errorTitle="Value not allowed" error="Pick a value from the drop-down list (L_ChangeStatus)." promptTitle="Select" prompt="Choose a value from the drop-down list." type="list" errorStyle="stop">
      <formula1>L_ChangeStatus</formula1>
    </dataValidation>
    <dataValidation sqref="O5:O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Q5:Q34" showDropDown="0" showInputMessage="1" showErrorMessage="1" allowBlank="1" errorTitle="Value not allowed" error="Pick a value from the drop-down list (L_ImplStatus)." promptTitle="Select" prompt="Choose a value from the drop-down list." type="list" errorStyle="stop">
      <formula1>L_ImplStatus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6" customWidth="1" min="4" max="4"/>
    <col width="17" customWidth="1" min="5" max="5"/>
    <col width="15" customWidth="1" min="6" max="6"/>
    <col width="14" customWidth="1" min="7" max="7"/>
    <col width="15" customWidth="1" min="8" max="8"/>
    <col width="15" customWidth="1" min="9" max="9"/>
    <col width="15" customWidth="1" min="10" max="10"/>
    <col width="15" customWidth="1" min="11" max="11"/>
    <col width="16" customWidth="1" min="12" max="12"/>
    <col width="24" customWidth="1" min="13" max="13"/>
  </cols>
  <sheetData>
    <row r="1" ht="32" customHeight="1">
      <c r="A1" s="1" t="inlineStr">
        <is>
          <t>COST MANAGEMENT</t>
        </is>
      </c>
    </row>
    <row r="2" ht="17" customHeight="1">
      <c r="A2" s="2" t="inlineStr">
        <is>
          <t>Approved amount vs committed, actual and forecast cost by category. Variance, utilisation and the category summary are calculated automatically.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Cost ID</t>
        </is>
      </c>
      <c r="B4" s="64" t="inlineStr">
        <is>
          <t>Project</t>
        </is>
      </c>
      <c r="C4" s="64" t="inlineStr">
        <is>
          <t>Cost Category</t>
        </is>
      </c>
      <c r="D4" s="64" t="inlineStr">
        <is>
          <t>Owner</t>
        </is>
      </c>
      <c r="E4" s="64" t="inlineStr">
        <is>
          <t>Total Approved Amount</t>
        </is>
      </c>
      <c r="F4" s="64" t="inlineStr">
        <is>
          <t>Committed Cost</t>
        </is>
      </c>
      <c r="G4" s="64" t="inlineStr">
        <is>
          <t>Actual Cost</t>
        </is>
      </c>
      <c r="H4" s="64" t="inlineStr">
        <is>
          <t>Forecast Cost</t>
        </is>
      </c>
      <c r="I4" s="64" t="inlineStr">
        <is>
          <t>Budget Variance</t>
        </is>
      </c>
      <c r="J4" s="64" t="inlineStr">
        <is>
          <t>Forecast Variance</t>
        </is>
      </c>
      <c r="K4" s="64" t="inlineStr">
        <is>
          <t>Cost Utilisation %</t>
        </is>
      </c>
      <c r="L4" s="64" t="inlineStr">
        <is>
          <t>Cost Status</t>
        </is>
      </c>
      <c r="M4" s="64" t="inlineStr">
        <is>
          <t>Notes</t>
        </is>
      </c>
    </row>
    <row r="5" ht="28" customHeight="1">
      <c r="A5" s="65" t="inlineStr">
        <is>
          <t>CST-001</t>
        </is>
      </c>
      <c r="B5" s="65" t="inlineStr">
        <is>
          <t>ERP Implementation</t>
        </is>
      </c>
      <c r="C5" s="65" t="inlineStr">
        <is>
          <t>Personnel</t>
        </is>
      </c>
      <c r="D5" s="65" t="inlineStr">
        <is>
          <t>Ahmed Khan</t>
        </is>
      </c>
      <c r="E5" s="68" t="n">
        <v>260000</v>
      </c>
      <c r="F5" s="68" t="n">
        <v>240000</v>
      </c>
      <c r="G5" s="68" t="n">
        <v>175000</v>
      </c>
      <c r="H5" s="68" t="n">
        <v>275000</v>
      </c>
      <c r="I5" s="68">
        <f>IF(OR(E5="",G5=""),"",E5-G5)</f>
        <v/>
      </c>
      <c r="J5" s="68">
        <f>IF(OR(E5="",H5=""),"",E5-H5)</f>
        <v/>
      </c>
      <c r="K5" s="67">
        <f>IF(OR(A5="",E5="",E5=0),"",G5/E5)</f>
        <v/>
      </c>
      <c r="L5" s="65">
        <f>IF(A5="","",IF(OR(E5="",E5=0),"No Budget",IF(K5&gt;1,"Over Budget",IF(J5&lt;0,"Forecast Overrun",IF(K5&gt;0.9,"Monitor","On Track")))))</f>
        <v/>
      </c>
      <c r="M5" s="70" t="inlineStr">
        <is>
          <t>SAMPLE</t>
        </is>
      </c>
    </row>
    <row r="6" ht="28" customHeight="1">
      <c r="A6" s="65" t="inlineStr">
        <is>
          <t>CST-002</t>
        </is>
      </c>
      <c r="B6" s="65" t="inlineStr">
        <is>
          <t>ERP Implementation</t>
        </is>
      </c>
      <c r="C6" s="65" t="inlineStr">
        <is>
          <t>Software</t>
        </is>
      </c>
      <c r="D6" s="65" t="inlineStr">
        <is>
          <t>Priya Raman</t>
        </is>
      </c>
      <c r="E6" s="68" t="n">
        <v>240000</v>
      </c>
      <c r="F6" s="68" t="n">
        <v>230000</v>
      </c>
      <c r="G6" s="68" t="n">
        <v>190000</v>
      </c>
      <c r="H6" s="68" t="n">
        <v>255000</v>
      </c>
      <c r="I6" s="68">
        <f>IF(OR(E6="",G6=""),"",E6-G6)</f>
        <v/>
      </c>
      <c r="J6" s="68">
        <f>IF(OR(E6="",H6=""),"",E6-H6)</f>
        <v/>
      </c>
      <c r="K6" s="67">
        <f>IF(OR(A6="",E6="",E6=0),"",G6/E6)</f>
        <v/>
      </c>
      <c r="L6" s="65">
        <f>IF(A6="","",IF(OR(E6="",E6=0),"No Budget",IF(K6&gt;1,"Over Budget",IF(J6&lt;0,"Forecast Overrun",IF(K6&gt;0.9,"Monitor","On Track")))))</f>
        <v/>
      </c>
      <c r="M6" s="70" t="inlineStr">
        <is>
          <t>SAMPLE</t>
        </is>
      </c>
    </row>
    <row r="7" ht="28" customHeight="1">
      <c r="A7" s="65" t="inlineStr">
        <is>
          <t>CST-003</t>
        </is>
      </c>
      <c r="B7" s="65" t="inlineStr">
        <is>
          <t>ERP Implementation</t>
        </is>
      </c>
      <c r="C7" s="65" t="inlineStr">
        <is>
          <t>Hardware</t>
        </is>
      </c>
      <c r="D7" s="65" t="inlineStr">
        <is>
          <t>Tom Becker</t>
        </is>
      </c>
      <c r="E7" s="68" t="n">
        <v>180000</v>
      </c>
      <c r="F7" s="68" t="n">
        <v>150000</v>
      </c>
      <c r="G7" s="68" t="n">
        <v>60000</v>
      </c>
      <c r="H7" s="68" t="n">
        <v>160000</v>
      </c>
      <c r="I7" s="68">
        <f>IF(OR(E7="",G7=""),"",E7-G7)</f>
        <v/>
      </c>
      <c r="J7" s="68">
        <f>IF(OR(E7="",H7=""),"",E7-H7)</f>
        <v/>
      </c>
      <c r="K7" s="67">
        <f>IF(OR(A7="",E7="",E7=0),"",G7/E7)</f>
        <v/>
      </c>
      <c r="L7" s="65">
        <f>IF(A7="","",IF(OR(E7="",E7=0),"No Budget",IF(K7&gt;1,"Over Budget",IF(J7&lt;0,"Forecast Overrun",IF(K7&gt;0.9,"Monitor","On Track")))))</f>
        <v/>
      </c>
      <c r="M7" s="70" t="inlineStr">
        <is>
          <t>SAMPLE</t>
        </is>
      </c>
    </row>
    <row r="8" ht="28" customHeight="1">
      <c r="A8" s="65" t="inlineStr">
        <is>
          <t>CST-004</t>
        </is>
      </c>
      <c r="B8" s="65" t="inlineStr">
        <is>
          <t>ERP Implementation</t>
        </is>
      </c>
      <c r="C8" s="65" t="inlineStr">
        <is>
          <t>Consulting</t>
        </is>
      </c>
      <c r="D8" s="65" t="inlineStr">
        <is>
          <t>Grace Alemu</t>
        </is>
      </c>
      <c r="E8" s="68" t="n">
        <v>120000</v>
      </c>
      <c r="F8" s="68" t="n">
        <v>100000</v>
      </c>
      <c r="G8" s="68" t="n">
        <v>70000</v>
      </c>
      <c r="H8" s="68" t="n">
        <v>170000</v>
      </c>
      <c r="I8" s="68">
        <f>IF(OR(E8="",G8=""),"",E8-G8)</f>
        <v/>
      </c>
      <c r="J8" s="68">
        <f>IF(OR(E8="",H8=""),"",E8-H8)</f>
        <v/>
      </c>
      <c r="K8" s="67">
        <f>IF(OR(A8="",E8="",E8=0),"",G8/E8)</f>
        <v/>
      </c>
      <c r="L8" s="65">
        <f>IF(A8="","",IF(OR(E8="",E8=0),"No Budget",IF(K8&gt;1,"Over Budget",IF(J8&lt;0,"Forecast Overrun",IF(K8&gt;0.9,"Monitor","On Track")))))</f>
        <v/>
      </c>
      <c r="M8" s="70" t="inlineStr">
        <is>
          <t>SAMPLE</t>
        </is>
      </c>
    </row>
    <row r="9" ht="28" customHeight="1">
      <c r="A9" s="65" t="inlineStr">
        <is>
          <t>CST-005</t>
        </is>
      </c>
      <c r="B9" s="65" t="inlineStr">
        <is>
          <t>ERP Implementation</t>
        </is>
      </c>
      <c r="C9" s="65" t="inlineStr">
        <is>
          <t>Training</t>
        </is>
      </c>
      <c r="D9" s="65" t="inlineStr">
        <is>
          <t>Maria Silva</t>
        </is>
      </c>
      <c r="E9" s="68" t="n">
        <v>50000</v>
      </c>
      <c r="F9" s="68" t="n">
        <v>20000</v>
      </c>
      <c r="G9" s="68" t="n">
        <v>25000</v>
      </c>
      <c r="H9" s="68" t="n">
        <v>50000</v>
      </c>
      <c r="I9" s="68">
        <f>IF(OR(E9="",G9=""),"",E9-G9)</f>
        <v/>
      </c>
      <c r="J9" s="68">
        <f>IF(OR(E9="",H9=""),"",E9-H9)</f>
        <v/>
      </c>
      <c r="K9" s="67">
        <f>IF(OR(A9="",E9="",E9=0),"",G9/E9)</f>
        <v/>
      </c>
      <c r="L9" s="65">
        <f>IF(A9="","",IF(OR(E9="",E9=0),"No Budget",IF(K9&gt;1,"Over Budget",IF(J9&lt;0,"Forecast Overrun",IF(K9&gt;0.9,"Monitor","On Track")))))</f>
        <v/>
      </c>
      <c r="M9" s="70" t="inlineStr">
        <is>
          <t>SAMPLE</t>
        </is>
      </c>
    </row>
    <row r="10" ht="28" customHeight="1">
      <c r="A10" s="65" t="inlineStr">
        <is>
          <t>CST-006</t>
        </is>
      </c>
      <c r="B10" s="65" t="inlineStr">
        <is>
          <t>Network Infrastructure Upgrade</t>
        </is>
      </c>
      <c r="C10" s="65" t="inlineStr">
        <is>
          <t>Hardware</t>
        </is>
      </c>
      <c r="D10" s="65" t="inlineStr">
        <is>
          <t>Tom Becker</t>
        </is>
      </c>
      <c r="E10" s="68" t="n">
        <v>220000</v>
      </c>
      <c r="F10" s="68" t="n">
        <v>210000</v>
      </c>
      <c r="G10" s="68" t="n">
        <v>95000</v>
      </c>
      <c r="H10" s="68" t="n">
        <v>205000</v>
      </c>
      <c r="I10" s="68">
        <f>IF(OR(E10="",G10=""),"",E10-G10)</f>
        <v/>
      </c>
      <c r="J10" s="68">
        <f>IF(OR(E10="",H10=""),"",E10-H10)</f>
        <v/>
      </c>
      <c r="K10" s="67">
        <f>IF(OR(A10="",E10="",E10=0),"",G10/E10)</f>
        <v/>
      </c>
      <c r="L10" s="65">
        <f>IF(A10="","",IF(OR(E10="",E10=0),"No Budget",IF(K10&gt;1,"Over Budget",IF(J10&lt;0,"Forecast Overrun",IF(K10&gt;0.9,"Monitor","On Track")))))</f>
        <v/>
      </c>
      <c r="M10" s="70" t="inlineStr">
        <is>
          <t>SAMPLE</t>
        </is>
      </c>
    </row>
    <row r="11" ht="28" customHeight="1">
      <c r="A11" s="65" t="inlineStr">
        <is>
          <t>CST-007</t>
        </is>
      </c>
      <c r="B11" s="65" t="inlineStr">
        <is>
          <t>Network Infrastructure Upgrade</t>
        </is>
      </c>
      <c r="C11" s="65" t="inlineStr">
        <is>
          <t>Procurement</t>
        </is>
      </c>
      <c r="D11" s="65" t="inlineStr">
        <is>
          <t>Lisa Chen</t>
        </is>
      </c>
      <c r="E11" s="68" t="n">
        <v>60000</v>
      </c>
      <c r="F11" s="68" t="n">
        <v>55000</v>
      </c>
      <c r="G11" s="68" t="n">
        <v>25000</v>
      </c>
      <c r="H11" s="68" t="n">
        <v>60000</v>
      </c>
      <c r="I11" s="68">
        <f>IF(OR(E11="",G11=""),"",E11-G11)</f>
        <v/>
      </c>
      <c r="J11" s="68">
        <f>IF(OR(E11="",H11=""),"",E11-H11)</f>
        <v/>
      </c>
      <c r="K11" s="67">
        <f>IF(OR(A11="",E11="",E11=0),"",G11/E11)</f>
        <v/>
      </c>
      <c r="L11" s="65">
        <f>IF(A11="","",IF(OR(E11="",E11=0),"No Budget",IF(K11&gt;1,"Over Budget",IF(J11&lt;0,"Forecast Overrun",IF(K11&gt;0.9,"Monitor","On Track")))))</f>
        <v/>
      </c>
      <c r="M11" s="70" t="inlineStr">
        <is>
          <t>SAMPLE</t>
        </is>
      </c>
    </row>
    <row r="12" ht="28" customHeight="1">
      <c r="A12" s="65" t="inlineStr">
        <is>
          <t>CST-008</t>
        </is>
      </c>
      <c r="B12" s="65" t="inlineStr">
        <is>
          <t>Network Infrastructure Upgrade</t>
        </is>
      </c>
      <c r="C12" s="65" t="inlineStr">
        <is>
          <t>Personnel</t>
        </is>
      </c>
      <c r="D12" s="65" t="inlineStr">
        <is>
          <t>Grace Alemu</t>
        </is>
      </c>
      <c r="E12" s="68" t="n">
        <v>40000</v>
      </c>
      <c r="F12" s="68" t="n">
        <v>38000</v>
      </c>
      <c r="G12" s="68" t="n">
        <v>20000</v>
      </c>
      <c r="H12" s="68" t="n">
        <v>40000</v>
      </c>
      <c r="I12" s="68">
        <f>IF(OR(E12="",G12=""),"",E12-G12)</f>
        <v/>
      </c>
      <c r="J12" s="68">
        <f>IF(OR(E12="",H12=""),"",E12-H12)</f>
        <v/>
      </c>
      <c r="K12" s="67">
        <f>IF(OR(A12="",E12="",E12=0),"",G12/E12)</f>
        <v/>
      </c>
      <c r="L12" s="65">
        <f>IF(A12="","",IF(OR(E12="",E12=0),"No Budget",IF(K12&gt;1,"Over Budget",IF(J12&lt;0,"Forecast Overrun",IF(K12&gt;0.9,"Monitor","On Track")))))</f>
        <v/>
      </c>
      <c r="M12" s="70" t="inlineStr">
        <is>
          <t>SAMPLE</t>
        </is>
      </c>
    </row>
    <row r="13" ht="28" customHeight="1">
      <c r="A13" s="65" t="inlineStr">
        <is>
          <t>CST-009</t>
        </is>
      </c>
      <c r="B13" s="65" t="inlineStr">
        <is>
          <t>HR Management System</t>
        </is>
      </c>
      <c r="C13" s="65" t="inlineStr">
        <is>
          <t>Software</t>
        </is>
      </c>
      <c r="D13" s="65" t="inlineStr">
        <is>
          <t>David Okoro</t>
        </is>
      </c>
      <c r="E13" s="68" t="n">
        <v>300000</v>
      </c>
      <c r="F13" s="68" t="n">
        <v>280000</v>
      </c>
      <c r="G13" s="68" t="n">
        <v>95000</v>
      </c>
      <c r="H13" s="68" t="n">
        <v>370000</v>
      </c>
      <c r="I13" s="68">
        <f>IF(OR(E13="",G13=""),"",E13-G13)</f>
        <v/>
      </c>
      <c r="J13" s="68">
        <f>IF(OR(E13="",H13=""),"",E13-H13)</f>
        <v/>
      </c>
      <c r="K13" s="67">
        <f>IF(OR(A13="",E13="",E13=0),"",G13/E13)</f>
        <v/>
      </c>
      <c r="L13" s="65">
        <f>IF(A13="","",IF(OR(E13="",E13=0),"No Budget",IF(K13&gt;1,"Over Budget",IF(J13&lt;0,"Forecast Overrun",IF(K13&gt;0.9,"Monitor","On Track")))))</f>
        <v/>
      </c>
      <c r="M13" s="70" t="inlineStr">
        <is>
          <t>SAMPLE</t>
        </is>
      </c>
    </row>
    <row r="14" ht="28" customHeight="1">
      <c r="A14" s="65" t="inlineStr">
        <is>
          <t>CST-010</t>
        </is>
      </c>
      <c r="B14" s="65" t="inlineStr">
        <is>
          <t>HR Management System</t>
        </is>
      </c>
      <c r="C14" s="65" t="inlineStr">
        <is>
          <t>Consulting</t>
        </is>
      </c>
      <c r="D14" s="65" t="inlineStr">
        <is>
          <t>Grace Alemu</t>
        </is>
      </c>
      <c r="E14" s="68" t="n">
        <v>120000</v>
      </c>
      <c r="F14" s="68" t="n">
        <v>110000</v>
      </c>
      <c r="G14" s="68" t="n">
        <v>35000</v>
      </c>
      <c r="H14" s="68" t="n">
        <v>130000</v>
      </c>
      <c r="I14" s="68">
        <f>IF(OR(E14="",G14=""),"",E14-G14)</f>
        <v/>
      </c>
      <c r="J14" s="68">
        <f>IF(OR(E14="",H14=""),"",E14-H14)</f>
        <v/>
      </c>
      <c r="K14" s="67">
        <f>IF(OR(A14="",E14="",E14=0),"",G14/E14)</f>
        <v/>
      </c>
      <c r="L14" s="65">
        <f>IF(A14="","",IF(OR(E14="",E14=0),"No Budget",IF(K14&gt;1,"Over Budget",IF(J14&lt;0,"Forecast Overrun",IF(K14&gt;0.9,"Monitor","On Track")))))</f>
        <v/>
      </c>
      <c r="M14" s="70" t="inlineStr">
        <is>
          <t>SAMPLE</t>
        </is>
      </c>
    </row>
    <row r="15" ht="28" customHeight="1">
      <c r="A15" s="65" t="inlineStr">
        <is>
          <t>CST-011</t>
        </is>
      </c>
      <c r="B15" s="65" t="inlineStr">
        <is>
          <t>HR Management System</t>
        </is>
      </c>
      <c r="C15" s="65" t="inlineStr">
        <is>
          <t>Training</t>
        </is>
      </c>
      <c r="D15" s="65" t="inlineStr">
        <is>
          <t>Priya Raman</t>
        </is>
      </c>
      <c r="E15" s="68" t="n">
        <v>60000</v>
      </c>
      <c r="F15" s="68" t="n">
        <v>40000</v>
      </c>
      <c r="G15" s="68" t="n">
        <v>20000</v>
      </c>
      <c r="H15" s="68" t="n">
        <v>60000</v>
      </c>
      <c r="I15" s="68">
        <f>IF(OR(E15="",G15=""),"",E15-G15)</f>
        <v/>
      </c>
      <c r="J15" s="68">
        <f>IF(OR(E15="",H15=""),"",E15-H15)</f>
        <v/>
      </c>
      <c r="K15" s="67">
        <f>IF(OR(A15="",E15="",E15=0),"",G15/E15)</f>
        <v/>
      </c>
      <c r="L15" s="65">
        <f>IF(A15="","",IF(OR(E15="",E15=0),"No Budget",IF(K15&gt;1,"Over Budget",IF(J15&lt;0,"Forecast Overrun",IF(K15&gt;0.9,"Monitor","On Track")))))</f>
        <v/>
      </c>
      <c r="M15" s="70" t="inlineStr">
        <is>
          <t>SAMPLE</t>
        </is>
      </c>
    </row>
    <row r="16" ht="28" customHeight="1">
      <c r="A16" s="65" t="inlineStr">
        <is>
          <t>CST-012</t>
        </is>
      </c>
      <c r="B16" s="65" t="inlineStr">
        <is>
          <t>Website Development</t>
        </is>
      </c>
      <c r="C16" s="65" t="inlineStr">
        <is>
          <t>Personnel</t>
        </is>
      </c>
      <c r="D16" s="65" t="inlineStr">
        <is>
          <t>Maria Silva</t>
        </is>
      </c>
      <c r="E16" s="68" t="n">
        <v>70000</v>
      </c>
      <c r="F16" s="68" t="n">
        <v>65000</v>
      </c>
      <c r="G16" s="68" t="n">
        <v>45000</v>
      </c>
      <c r="H16" s="68" t="n">
        <v>88000</v>
      </c>
      <c r="I16" s="68">
        <f>IF(OR(E16="",G16=""),"",E16-G16)</f>
        <v/>
      </c>
      <c r="J16" s="68">
        <f>IF(OR(E16="",H16=""),"",E16-H16)</f>
        <v/>
      </c>
      <c r="K16" s="67">
        <f>IF(OR(A16="",E16="",E16=0),"",G16/E16)</f>
        <v/>
      </c>
      <c r="L16" s="65">
        <f>IF(A16="","",IF(OR(E16="",E16=0),"No Budget",IF(K16&gt;1,"Over Budget",IF(J16&lt;0,"Forecast Overrun",IF(K16&gt;0.9,"Monitor","On Track")))))</f>
        <v/>
      </c>
      <c r="M16" s="70" t="inlineStr">
        <is>
          <t>SAMPLE</t>
        </is>
      </c>
    </row>
    <row r="17" ht="28" customHeight="1">
      <c r="A17" s="65" t="inlineStr">
        <is>
          <t>CST-013</t>
        </is>
      </c>
      <c r="B17" s="65" t="inlineStr">
        <is>
          <t>Website Development</t>
        </is>
      </c>
      <c r="C17" s="65" t="inlineStr">
        <is>
          <t>Software</t>
        </is>
      </c>
      <c r="D17" s="65" t="inlineStr">
        <is>
          <t>Tom Becker</t>
        </is>
      </c>
      <c r="E17" s="68" t="n">
        <v>30000</v>
      </c>
      <c r="F17" s="68" t="n">
        <v>25000</v>
      </c>
      <c r="G17" s="68" t="n">
        <v>12000</v>
      </c>
      <c r="H17" s="68" t="n">
        <v>30000</v>
      </c>
      <c r="I17" s="68">
        <f>IF(OR(E17="",G17=""),"",E17-G17)</f>
        <v/>
      </c>
      <c r="J17" s="68">
        <f>IF(OR(E17="",H17=""),"",E17-H17)</f>
        <v/>
      </c>
      <c r="K17" s="67">
        <f>IF(OR(A17="",E17="",E17=0),"",G17/E17)</f>
        <v/>
      </c>
      <c r="L17" s="65">
        <f>IF(A17="","",IF(OR(E17="",E17=0),"No Budget",IF(K17&gt;1,"Over Budget",IF(J17&lt;0,"Forecast Overrun",IF(K17&gt;0.9,"Monitor","On Track")))))</f>
        <v/>
      </c>
      <c r="M17" s="70" t="inlineStr">
        <is>
          <t>SAMPLE</t>
        </is>
      </c>
    </row>
    <row r="18" ht="28" customHeight="1">
      <c r="A18" s="65" t="inlineStr">
        <is>
          <t>CST-014</t>
        </is>
      </c>
      <c r="B18" s="65" t="inlineStr">
        <is>
          <t>Website Development</t>
        </is>
      </c>
      <c r="C18" s="65" t="inlineStr">
        <is>
          <t>Other</t>
        </is>
      </c>
      <c r="D18" s="65" t="inlineStr">
        <is>
          <t>Priya Raman</t>
        </is>
      </c>
      <c r="E18" s="68" t="n">
        <v>20000</v>
      </c>
      <c r="F18" s="68" t="n">
        <v>15000</v>
      </c>
      <c r="G18" s="68" t="n">
        <v>5000</v>
      </c>
      <c r="H18" s="68" t="n">
        <v>20000</v>
      </c>
      <c r="I18" s="68">
        <f>IF(OR(E18="",G18=""),"",E18-G18)</f>
        <v/>
      </c>
      <c r="J18" s="68">
        <f>IF(OR(E18="",H18=""),"",E18-H18)</f>
        <v/>
      </c>
      <c r="K18" s="67">
        <f>IF(OR(A18="",E18="",E18=0),"",G18/E18)</f>
        <v/>
      </c>
      <c r="L18" s="65">
        <f>IF(A18="","",IF(OR(E18="",E18=0),"No Budget",IF(K18&gt;1,"Over Budget",IF(J18&lt;0,"Forecast Overrun",IF(K18&gt;0.9,"Monitor","On Track")))))</f>
        <v/>
      </c>
      <c r="M18" s="70" t="inlineStr">
        <is>
          <t>SAMPLE</t>
        </is>
      </c>
    </row>
    <row r="19" ht="28" customHeight="1">
      <c r="A19" s="65" t="inlineStr">
        <is>
          <t>CST-015</t>
        </is>
      </c>
      <c r="B19" s="65" t="inlineStr">
        <is>
          <t>Office Security Upgrade</t>
        </is>
      </c>
      <c r="C19" s="65" t="inlineStr">
        <is>
          <t>Hardware</t>
        </is>
      </c>
      <c r="D19" s="65" t="inlineStr">
        <is>
          <t>Tom Becker</t>
        </is>
      </c>
      <c r="E19" s="68" t="n">
        <v>35000</v>
      </c>
      <c r="F19" s="68" t="n">
        <v>32000</v>
      </c>
      <c r="G19" s="68" t="n">
        <v>5000</v>
      </c>
      <c r="H19" s="68" t="n">
        <v>35000</v>
      </c>
      <c r="I19" s="68">
        <f>IF(OR(E19="",G19=""),"",E19-G19)</f>
        <v/>
      </c>
      <c r="J19" s="68">
        <f>IF(OR(E19="",H19=""),"",E19-H19)</f>
        <v/>
      </c>
      <c r="K19" s="67">
        <f>IF(OR(A19="",E19="",E19=0),"",G19/E19)</f>
        <v/>
      </c>
      <c r="L19" s="65">
        <f>IF(A19="","",IF(OR(E19="",E19=0),"No Budget",IF(K19&gt;1,"Over Budget",IF(J19&lt;0,"Forecast Overrun",IF(K19&gt;0.9,"Monitor","On Track")))))</f>
        <v/>
      </c>
      <c r="M19" s="70" t="inlineStr">
        <is>
          <t>SAMPLE</t>
        </is>
      </c>
    </row>
    <row r="20" ht="28" customHeight="1">
      <c r="A20" s="65" t="inlineStr">
        <is>
          <t>CST-016</t>
        </is>
      </c>
      <c r="B20" s="65" t="inlineStr">
        <is>
          <t>Office Security Upgrade</t>
        </is>
      </c>
      <c r="C20" s="65" t="inlineStr">
        <is>
          <t>Procurement</t>
        </is>
      </c>
      <c r="D20" s="65" t="inlineStr">
        <is>
          <t>Lisa Chen</t>
        </is>
      </c>
      <c r="E20" s="68" t="n">
        <v>25000</v>
      </c>
      <c r="F20" s="68" t="n">
        <v>22000</v>
      </c>
      <c r="G20" s="68" t="n">
        <v>4000</v>
      </c>
      <c r="H20" s="68" t="n">
        <v>25000</v>
      </c>
      <c r="I20" s="68">
        <f>IF(OR(E20="",G20=""),"",E20-G20)</f>
        <v/>
      </c>
      <c r="J20" s="68">
        <f>IF(OR(E20="",H20=""),"",E20-H20)</f>
        <v/>
      </c>
      <c r="K20" s="67">
        <f>IF(OR(A20="",E20="",E20=0),"",G20/E20)</f>
        <v/>
      </c>
      <c r="L20" s="65">
        <f>IF(A20="","",IF(OR(E20="",E20=0),"No Budget",IF(K20&gt;1,"Over Budget",IF(J20&lt;0,"Forecast Overrun",IF(K20&gt;0.9,"Monitor","On Track")))))</f>
        <v/>
      </c>
      <c r="M20" s="70" t="inlineStr">
        <is>
          <t>SAMPLE</t>
        </is>
      </c>
    </row>
    <row r="21" ht="28" customHeight="1">
      <c r="A21" s="65" t="inlineStr">
        <is>
          <t>CST-017</t>
        </is>
      </c>
      <c r="B21" s="65" t="inlineStr">
        <is>
          <t>Payroll Reporting Portal</t>
        </is>
      </c>
      <c r="C21" s="65" t="inlineStr">
        <is>
          <t>Personnel</t>
        </is>
      </c>
      <c r="D21" s="65" t="inlineStr">
        <is>
          <t>Priya Raman</t>
        </is>
      </c>
      <c r="E21" s="68" t="n">
        <v>75000</v>
      </c>
      <c r="F21" s="68" t="n">
        <v>75000</v>
      </c>
      <c r="G21" s="68" t="n">
        <v>72000</v>
      </c>
      <c r="H21" s="68" t="n">
        <v>72000</v>
      </c>
      <c r="I21" s="68">
        <f>IF(OR(E21="",G21=""),"",E21-G21)</f>
        <v/>
      </c>
      <c r="J21" s="68">
        <f>IF(OR(E21="",H21=""),"",E21-H21)</f>
        <v/>
      </c>
      <c r="K21" s="67">
        <f>IF(OR(A21="",E21="",E21=0),"",G21/E21)</f>
        <v/>
      </c>
      <c r="L21" s="65">
        <f>IF(A21="","",IF(OR(E21="",E21=0),"No Budget",IF(K21&gt;1,"Over Budget",IF(J21&lt;0,"Forecast Overrun",IF(K21&gt;0.9,"Monitor","On Track")))))</f>
        <v/>
      </c>
      <c r="M21" s="70" t="inlineStr">
        <is>
          <t>SAMPLE</t>
        </is>
      </c>
    </row>
    <row r="22" ht="28" customHeight="1">
      <c r="A22" s="65" t="inlineStr">
        <is>
          <t>CST-018</t>
        </is>
      </c>
      <c r="B22" s="65" t="inlineStr">
        <is>
          <t>Payroll Reporting Portal</t>
        </is>
      </c>
      <c r="C22" s="65" t="inlineStr">
        <is>
          <t>Software</t>
        </is>
      </c>
      <c r="D22" s="65" t="inlineStr">
        <is>
          <t>Tom Becker</t>
        </is>
      </c>
      <c r="E22" s="68" t="n">
        <v>20000</v>
      </c>
      <c r="F22" s="68" t="n">
        <v>20000</v>
      </c>
      <c r="G22" s="68" t="n">
        <v>20000</v>
      </c>
      <c r="H22" s="68" t="n">
        <v>20000</v>
      </c>
      <c r="I22" s="68">
        <f>IF(OR(E22="",G22=""),"",E22-G22)</f>
        <v/>
      </c>
      <c r="J22" s="68">
        <f>IF(OR(E22="",H22=""),"",E22-H22)</f>
        <v/>
      </c>
      <c r="K22" s="67">
        <f>IF(OR(A22="",E22="",E22=0),"",G22/E22)</f>
        <v/>
      </c>
      <c r="L22" s="65">
        <f>IF(A22="","",IF(OR(E22="",E22=0),"No Budget",IF(K22&gt;1,"Over Budget",IF(J22&lt;0,"Forecast Overrun",IF(K22&gt;0.9,"Monitor","On Track")))))</f>
        <v/>
      </c>
      <c r="M22" s="70" t="inlineStr">
        <is>
          <t>SAMPLE</t>
        </is>
      </c>
    </row>
    <row r="23" ht="28" customHeight="1">
      <c r="A23" s="65" t="inlineStr">
        <is>
          <t>CST-019</t>
        </is>
      </c>
      <c r="B23" s="65" t="inlineStr">
        <is>
          <t>Legacy Fax System Decommission</t>
        </is>
      </c>
      <c r="C23" s="65" t="inlineStr">
        <is>
          <t>Other</t>
        </is>
      </c>
      <c r="D23" s="65" t="inlineStr">
        <is>
          <t>Tom Becker</t>
        </is>
      </c>
      <c r="E23" s="68" t="n">
        <v>25000</v>
      </c>
      <c r="F23" s="68" t="n">
        <v>5000</v>
      </c>
      <c r="G23" s="68" t="n">
        <v>4000</v>
      </c>
      <c r="H23" s="68" t="n">
        <v>4000</v>
      </c>
      <c r="I23" s="68">
        <f>IF(OR(E23="",G23=""),"",E23-G23)</f>
        <v/>
      </c>
      <c r="J23" s="68">
        <f>IF(OR(E23="",H23=""),"",E23-H23)</f>
        <v/>
      </c>
      <c r="K23" s="67">
        <f>IF(OR(A23="",E23="",E23=0),"",G23/E23)</f>
        <v/>
      </c>
      <c r="L23" s="65">
        <f>IF(A23="","",IF(OR(E23="",E23=0),"No Budget",IF(K23&gt;1,"Over Budget",IF(J23&lt;0,"Forecast Overrun",IF(K23&gt;0.9,"Monitor","On Track")))))</f>
        <v/>
      </c>
      <c r="M23" s="70" t="inlineStr">
        <is>
          <t>SAMPLE</t>
        </is>
      </c>
    </row>
    <row r="24" ht="28" customHeight="1">
      <c r="A24" s="65" t="n"/>
      <c r="B24" s="65" t="n"/>
      <c r="C24" s="65" t="n"/>
      <c r="D24" s="65" t="n"/>
      <c r="E24" s="68" t="n"/>
      <c r="F24" s="68" t="n"/>
      <c r="G24" s="68" t="n"/>
      <c r="H24" s="68" t="n"/>
      <c r="I24" s="68">
        <f>IF(OR(E24="",G24=""),"",E24-G24)</f>
        <v/>
      </c>
      <c r="J24" s="68">
        <f>IF(OR(E24="",H24=""),"",E24-H24)</f>
        <v/>
      </c>
      <c r="K24" s="67">
        <f>IF(OR(A24="",E24="",E24=0),"",G24/E24)</f>
        <v/>
      </c>
      <c r="L24" s="65">
        <f>IF(A24="","",IF(OR(E24="",E24=0),"No Budget",IF(K24&gt;1,"Over Budget",IF(J24&lt;0,"Forecast Overrun",IF(K24&gt;0.9,"Monitor","On Track")))))</f>
        <v/>
      </c>
      <c r="M24" s="70" t="n"/>
    </row>
    <row r="25" ht="28" customHeight="1">
      <c r="A25" s="65" t="n"/>
      <c r="B25" s="65" t="n"/>
      <c r="C25" s="65" t="n"/>
      <c r="D25" s="65" t="n"/>
      <c r="E25" s="68" t="n"/>
      <c r="F25" s="68" t="n"/>
      <c r="G25" s="68" t="n"/>
      <c r="H25" s="68" t="n"/>
      <c r="I25" s="68">
        <f>IF(OR(E25="",G25=""),"",E25-G25)</f>
        <v/>
      </c>
      <c r="J25" s="68">
        <f>IF(OR(E25="",H25=""),"",E25-H25)</f>
        <v/>
      </c>
      <c r="K25" s="67">
        <f>IF(OR(A25="",E25="",E25=0),"",G25/E25)</f>
        <v/>
      </c>
      <c r="L25" s="65">
        <f>IF(A25="","",IF(OR(E25="",E25=0),"No Budget",IF(K25&gt;1,"Over Budget",IF(J25&lt;0,"Forecast Overrun",IF(K25&gt;0.9,"Monitor","On Track")))))</f>
        <v/>
      </c>
      <c r="M25" s="70" t="n"/>
    </row>
    <row r="26" ht="28" customHeight="1">
      <c r="A26" s="65" t="n"/>
      <c r="B26" s="65" t="n"/>
      <c r="C26" s="65" t="n"/>
      <c r="D26" s="65" t="n"/>
      <c r="E26" s="68" t="n"/>
      <c r="F26" s="68" t="n"/>
      <c r="G26" s="68" t="n"/>
      <c r="H26" s="68" t="n"/>
      <c r="I26" s="68">
        <f>IF(OR(E26="",G26=""),"",E26-G26)</f>
        <v/>
      </c>
      <c r="J26" s="68">
        <f>IF(OR(E26="",H26=""),"",E26-H26)</f>
        <v/>
      </c>
      <c r="K26" s="67">
        <f>IF(OR(A26="",E26="",E26=0),"",G26/E26)</f>
        <v/>
      </c>
      <c r="L26" s="65">
        <f>IF(A26="","",IF(OR(E26="",E26=0),"No Budget",IF(K26&gt;1,"Over Budget",IF(J26&lt;0,"Forecast Overrun",IF(K26&gt;0.9,"Monitor","On Track")))))</f>
        <v/>
      </c>
      <c r="M26" s="70" t="n"/>
    </row>
    <row r="27" ht="28" customHeight="1">
      <c r="A27" s="65" t="n"/>
      <c r="B27" s="65" t="n"/>
      <c r="C27" s="65" t="n"/>
      <c r="D27" s="65" t="n"/>
      <c r="E27" s="68" t="n"/>
      <c r="F27" s="68" t="n"/>
      <c r="G27" s="68" t="n"/>
      <c r="H27" s="68" t="n"/>
      <c r="I27" s="68">
        <f>IF(OR(E27="",G27=""),"",E27-G27)</f>
        <v/>
      </c>
      <c r="J27" s="68">
        <f>IF(OR(E27="",H27=""),"",E27-H27)</f>
        <v/>
      </c>
      <c r="K27" s="67">
        <f>IF(OR(A27="",E27="",E27=0),"",G27/E27)</f>
        <v/>
      </c>
      <c r="L27" s="65">
        <f>IF(A27="","",IF(OR(E27="",E27=0),"No Budget",IF(K27&gt;1,"Over Budget",IF(J27&lt;0,"Forecast Overrun",IF(K27&gt;0.9,"Monitor","On Track")))))</f>
        <v/>
      </c>
      <c r="M27" s="70" t="n"/>
    </row>
    <row r="28" ht="28" customHeight="1">
      <c r="A28" s="65" t="n"/>
      <c r="B28" s="65" t="n"/>
      <c r="C28" s="65" t="n"/>
      <c r="D28" s="65" t="n"/>
      <c r="E28" s="68" t="n"/>
      <c r="F28" s="68" t="n"/>
      <c r="G28" s="68" t="n"/>
      <c r="H28" s="68" t="n"/>
      <c r="I28" s="68">
        <f>IF(OR(E28="",G28=""),"",E28-G28)</f>
        <v/>
      </c>
      <c r="J28" s="68">
        <f>IF(OR(E28="",H28=""),"",E28-H28)</f>
        <v/>
      </c>
      <c r="K28" s="67">
        <f>IF(OR(A28="",E28="",E28=0),"",G28/E28)</f>
        <v/>
      </c>
      <c r="L28" s="65">
        <f>IF(A28="","",IF(OR(E28="",E28=0),"No Budget",IF(K28&gt;1,"Over Budget",IF(J28&lt;0,"Forecast Overrun",IF(K28&gt;0.9,"Monitor","On Track")))))</f>
        <v/>
      </c>
      <c r="M28" s="70" t="n"/>
    </row>
    <row r="29" ht="28" customHeight="1">
      <c r="A29" s="65" t="n"/>
      <c r="B29" s="65" t="n"/>
      <c r="C29" s="65" t="n"/>
      <c r="D29" s="65" t="n"/>
      <c r="E29" s="68" t="n"/>
      <c r="F29" s="68" t="n"/>
      <c r="G29" s="68" t="n"/>
      <c r="H29" s="68" t="n"/>
      <c r="I29" s="68">
        <f>IF(OR(E29="",G29=""),"",E29-G29)</f>
        <v/>
      </c>
      <c r="J29" s="68">
        <f>IF(OR(E29="",H29=""),"",E29-H29)</f>
        <v/>
      </c>
      <c r="K29" s="67">
        <f>IF(OR(A29="",E29="",E29=0),"",G29/E29)</f>
        <v/>
      </c>
      <c r="L29" s="65">
        <f>IF(A29="","",IF(OR(E29="",E29=0),"No Budget",IF(K29&gt;1,"Over Budget",IF(J29&lt;0,"Forecast Overrun",IF(K29&gt;0.9,"Monitor","On Track")))))</f>
        <v/>
      </c>
      <c r="M29" s="70" t="n"/>
    </row>
    <row r="30" ht="28" customHeight="1">
      <c r="A30" s="65" t="n"/>
      <c r="B30" s="65" t="n"/>
      <c r="C30" s="65" t="n"/>
      <c r="D30" s="65" t="n"/>
      <c r="E30" s="68" t="n"/>
      <c r="F30" s="68" t="n"/>
      <c r="G30" s="68" t="n"/>
      <c r="H30" s="68" t="n"/>
      <c r="I30" s="68">
        <f>IF(OR(E30="",G30=""),"",E30-G30)</f>
        <v/>
      </c>
      <c r="J30" s="68">
        <f>IF(OR(E30="",H30=""),"",E30-H30)</f>
        <v/>
      </c>
      <c r="K30" s="67">
        <f>IF(OR(A30="",E30="",E30=0),"",G30/E30)</f>
        <v/>
      </c>
      <c r="L30" s="65">
        <f>IF(A30="","",IF(OR(E30="",E30=0),"No Budget",IF(K30&gt;1,"Over Budget",IF(J30&lt;0,"Forecast Overrun",IF(K30&gt;0.9,"Monitor","On Track")))))</f>
        <v/>
      </c>
      <c r="M30" s="70" t="n"/>
    </row>
    <row r="31" ht="28" customHeight="1">
      <c r="A31" s="65" t="n"/>
      <c r="B31" s="65" t="n"/>
      <c r="C31" s="65" t="n"/>
      <c r="D31" s="65" t="n"/>
      <c r="E31" s="68" t="n"/>
      <c r="F31" s="68" t="n"/>
      <c r="G31" s="68" t="n"/>
      <c r="H31" s="68" t="n"/>
      <c r="I31" s="68">
        <f>IF(OR(E31="",G31=""),"",E31-G31)</f>
        <v/>
      </c>
      <c r="J31" s="68">
        <f>IF(OR(E31="",H31=""),"",E31-H31)</f>
        <v/>
      </c>
      <c r="K31" s="67">
        <f>IF(OR(A31="",E31="",E31=0),"",G31/E31)</f>
        <v/>
      </c>
      <c r="L31" s="65">
        <f>IF(A31="","",IF(OR(E31="",E31=0),"No Budget",IF(K31&gt;1,"Over Budget",IF(J31&lt;0,"Forecast Overrun",IF(K31&gt;0.9,"Monitor","On Track")))))</f>
        <v/>
      </c>
      <c r="M31" s="70" t="n"/>
    </row>
    <row r="32" ht="28" customHeight="1">
      <c r="A32" s="65" t="n"/>
      <c r="B32" s="65" t="n"/>
      <c r="C32" s="65" t="n"/>
      <c r="D32" s="65" t="n"/>
      <c r="E32" s="68" t="n"/>
      <c r="F32" s="68" t="n"/>
      <c r="G32" s="68" t="n"/>
      <c r="H32" s="68" t="n"/>
      <c r="I32" s="68">
        <f>IF(OR(E32="",G32=""),"",E32-G32)</f>
        <v/>
      </c>
      <c r="J32" s="68">
        <f>IF(OR(E32="",H32=""),"",E32-H32)</f>
        <v/>
      </c>
      <c r="K32" s="67">
        <f>IF(OR(A32="",E32="",E32=0),"",G32/E32)</f>
        <v/>
      </c>
      <c r="L32" s="65">
        <f>IF(A32="","",IF(OR(E32="",E32=0),"No Budget",IF(K32&gt;1,"Over Budget",IF(J32&lt;0,"Forecast Overrun",IF(K32&gt;0.9,"Monitor","On Track")))))</f>
        <v/>
      </c>
      <c r="M32" s="70" t="n"/>
    </row>
    <row r="33" ht="28" customHeight="1">
      <c r="A33" s="65" t="n"/>
      <c r="B33" s="65" t="n"/>
      <c r="C33" s="65" t="n"/>
      <c r="D33" s="65" t="n"/>
      <c r="E33" s="68" t="n"/>
      <c r="F33" s="68" t="n"/>
      <c r="G33" s="68" t="n"/>
      <c r="H33" s="68" t="n"/>
      <c r="I33" s="68">
        <f>IF(OR(E33="",G33=""),"",E33-G33)</f>
        <v/>
      </c>
      <c r="J33" s="68">
        <f>IF(OR(E33="",H33=""),"",E33-H33)</f>
        <v/>
      </c>
      <c r="K33" s="67">
        <f>IF(OR(A33="",E33="",E33=0),"",G33/E33)</f>
        <v/>
      </c>
      <c r="L33" s="65">
        <f>IF(A33="","",IF(OR(E33="",E33=0),"No Budget",IF(K33&gt;1,"Over Budget",IF(J33&lt;0,"Forecast Overrun",IF(K33&gt;0.9,"Monitor","On Track")))))</f>
        <v/>
      </c>
      <c r="M33" s="70" t="n"/>
    </row>
    <row r="34" ht="28" customHeight="1">
      <c r="A34" s="65" t="n"/>
      <c r="B34" s="65" t="n"/>
      <c r="C34" s="65" t="n"/>
      <c r="D34" s="65" t="n"/>
      <c r="E34" s="68" t="n"/>
      <c r="F34" s="68" t="n"/>
      <c r="G34" s="68" t="n"/>
      <c r="H34" s="68" t="n"/>
      <c r="I34" s="68">
        <f>IF(OR(E34="",G34=""),"",E34-G34)</f>
        <v/>
      </c>
      <c r="J34" s="68">
        <f>IF(OR(E34="",H34=""),"",E34-H34)</f>
        <v/>
      </c>
      <c r="K34" s="67">
        <f>IF(OR(A34="",E34="",E34=0),"",G34/E34)</f>
        <v/>
      </c>
      <c r="L34" s="65">
        <f>IF(A34="","",IF(OR(E34="",E34=0),"No Budget",IF(K34&gt;1,"Over Budget",IF(J34&lt;0,"Forecast Overrun",IF(K34&gt;0.9,"Monitor","On Track")))))</f>
        <v/>
      </c>
      <c r="M34" s="70" t="n"/>
    </row>
    <row r="36" ht="20" customHeight="1">
      <c r="A36" s="6" t="inlineStr">
        <is>
          <t>COST SUMMARY - AUTOMATIC (ALL COST LINES)</t>
        </is>
      </c>
    </row>
    <row r="37" ht="24" customHeight="1">
      <c r="A37" s="79" t="inlineStr">
        <is>
          <t>TOTAL APPROVED</t>
        </is>
      </c>
      <c r="B37" s="32" t="n"/>
      <c r="C37" s="79" t="inlineStr">
        <is>
          <t>COMMITTED</t>
        </is>
      </c>
      <c r="D37" s="32" t="n"/>
      <c r="E37" s="79" t="inlineStr">
        <is>
          <t>ACTUAL</t>
        </is>
      </c>
      <c r="F37" s="32" t="n"/>
      <c r="G37" s="79" t="inlineStr">
        <is>
          <t>FORECAST</t>
        </is>
      </c>
      <c r="H37" s="32" t="n"/>
      <c r="I37" s="79" t="inlineStr">
        <is>
          <t>BUDGET VARIANCE</t>
        </is>
      </c>
      <c r="J37" s="32" t="n"/>
      <c r="K37" s="79" t="inlineStr">
        <is>
          <t>FORECAST VARIANCE</t>
        </is>
      </c>
      <c r="L37" s="32" t="n"/>
      <c r="M37" s="79" t="inlineStr">
        <is>
          <t>UTILISATION</t>
        </is>
      </c>
    </row>
    <row r="38" ht="30" customHeight="1">
      <c r="A38" s="88">
        <f>SUM($E$5:$E$34)</f>
        <v/>
      </c>
      <c r="B38" s="12" t="n"/>
      <c r="C38" s="88">
        <f>SUM($F$5:$F$34)</f>
        <v/>
      </c>
      <c r="D38" s="12" t="n"/>
      <c r="E38" s="88">
        <f>SUM($G$5:$G$34)</f>
        <v/>
      </c>
      <c r="F38" s="12" t="n"/>
      <c r="G38" s="88">
        <f>SUM($H$5:$H$34)</f>
        <v/>
      </c>
      <c r="H38" s="12" t="n"/>
      <c r="I38" s="88">
        <f>SUM($I$5:$I$34)</f>
        <v/>
      </c>
      <c r="J38" s="12" t="n"/>
      <c r="K38" s="88">
        <f>SUM($J$5:$J$34)</f>
        <v/>
      </c>
      <c r="L38" s="12" t="n"/>
      <c r="M38" s="89">
        <f>IFERROR(SUM($G$5:$G$34)/SUM($E$5:$E$34),0)</f>
        <v/>
      </c>
    </row>
    <row r="39" ht="8" customHeight="1"/>
    <row r="40" ht="20" customHeight="1">
      <c r="A40" s="6" t="inlineStr">
        <is>
          <t>COST BY CATEGORY - AUTOMATIC</t>
        </is>
      </c>
    </row>
    <row r="41" ht="24" customHeight="1">
      <c r="A41" s="79" t="inlineStr">
        <is>
          <t>COST CATEGORY</t>
        </is>
      </c>
      <c r="B41" s="32" t="n"/>
      <c r="C41" s="79" t="inlineStr">
        <is>
          <t>APPROVED</t>
        </is>
      </c>
      <c r="D41" s="32" t="n"/>
      <c r="E41" s="79" t="inlineStr">
        <is>
          <t>ACTUAL</t>
        </is>
      </c>
      <c r="F41" s="32" t="n"/>
      <c r="G41" s="79" t="inlineStr">
        <is>
          <t>FORECAST</t>
        </is>
      </c>
      <c r="H41" s="32" t="n"/>
      <c r="I41" s="79" t="inlineStr">
        <is>
          <t>UTILISATION</t>
        </is>
      </c>
      <c r="J41" s="32" t="n"/>
      <c r="K41" s="79" t="inlineStr">
        <is>
          <t>STATUS</t>
        </is>
      </c>
      <c r="L41" s="32" t="n"/>
      <c r="M41" s="32" t="n"/>
    </row>
    <row r="42" ht="30" customHeight="1">
      <c r="A42" s="90" t="inlineStr">
        <is>
          <t>Personnel</t>
        </is>
      </c>
      <c r="B42" s="12" t="n"/>
      <c r="C42" s="88">
        <f>SUMIFS($E$5:$E$34,$C$5:$C$34,$A42)</f>
        <v/>
      </c>
      <c r="D42" s="12" t="n"/>
      <c r="E42" s="88">
        <f>SUMIFS($G$5:$G$34,$C$5:$C$34,$A42)</f>
        <v/>
      </c>
      <c r="F42" s="12" t="n"/>
      <c r="G42" s="88">
        <f>SUMIFS($H$5:$H$34,$C$5:$C$34,$A42)</f>
        <v/>
      </c>
      <c r="H42" s="12" t="n"/>
      <c r="I42" s="89">
        <f>IFERROR($E42/$C42,0)</f>
        <v/>
      </c>
      <c r="J42" s="12" t="n"/>
      <c r="K42" s="90">
        <f>IF($C42=0,"-",IF($I42&gt;1,"OVER",IF($I42&gt;=0.9,"WATCH","OK")))</f>
        <v/>
      </c>
      <c r="L42" s="12" t="n"/>
      <c r="M42" s="12" t="n"/>
    </row>
    <row r="43" ht="30" customHeight="1">
      <c r="A43" s="90" t="inlineStr">
        <is>
          <t>Software</t>
        </is>
      </c>
      <c r="B43" s="12" t="n"/>
      <c r="C43" s="88">
        <f>SUMIFS($E$5:$E$34,$C$5:$C$34,$A43)</f>
        <v/>
      </c>
      <c r="D43" s="12" t="n"/>
      <c r="E43" s="88">
        <f>SUMIFS($G$5:$G$34,$C$5:$C$34,$A43)</f>
        <v/>
      </c>
      <c r="F43" s="12" t="n"/>
      <c r="G43" s="88">
        <f>SUMIFS($H$5:$H$34,$C$5:$C$34,$A43)</f>
        <v/>
      </c>
      <c r="H43" s="12" t="n"/>
      <c r="I43" s="89">
        <f>IFERROR($E43/$C43,0)</f>
        <v/>
      </c>
      <c r="J43" s="12" t="n"/>
      <c r="K43" s="90">
        <f>IF($C43=0,"-",IF($I43&gt;1,"OVER",IF($I43&gt;=0.9,"WATCH","OK")))</f>
        <v/>
      </c>
      <c r="L43" s="12" t="n"/>
      <c r="M43" s="12" t="n"/>
    </row>
    <row r="44" ht="30" customHeight="1">
      <c r="A44" s="90" t="inlineStr">
        <is>
          <t>Hardware</t>
        </is>
      </c>
      <c r="B44" s="12" t="n"/>
      <c r="C44" s="88">
        <f>SUMIFS($E$5:$E$34,$C$5:$C$34,$A44)</f>
        <v/>
      </c>
      <c r="D44" s="12" t="n"/>
      <c r="E44" s="88">
        <f>SUMIFS($G$5:$G$34,$C$5:$C$34,$A44)</f>
        <v/>
      </c>
      <c r="F44" s="12" t="n"/>
      <c r="G44" s="88">
        <f>SUMIFS($H$5:$H$34,$C$5:$C$34,$A44)</f>
        <v/>
      </c>
      <c r="H44" s="12" t="n"/>
      <c r="I44" s="89">
        <f>IFERROR($E44/$C44,0)</f>
        <v/>
      </c>
      <c r="J44" s="12" t="n"/>
      <c r="K44" s="90">
        <f>IF($C44=0,"-",IF($I44&gt;1,"OVER",IF($I44&gt;=0.9,"WATCH","OK")))</f>
        <v/>
      </c>
      <c r="L44" s="12" t="n"/>
      <c r="M44" s="12" t="n"/>
    </row>
    <row r="45" ht="30" customHeight="1">
      <c r="A45" s="90" t="inlineStr">
        <is>
          <t>Procurement</t>
        </is>
      </c>
      <c r="B45" s="12" t="n"/>
      <c r="C45" s="88">
        <f>SUMIFS($E$5:$E$34,$C$5:$C$34,$A45)</f>
        <v/>
      </c>
      <c r="D45" s="12" t="n"/>
      <c r="E45" s="88">
        <f>SUMIFS($G$5:$G$34,$C$5:$C$34,$A45)</f>
        <v/>
      </c>
      <c r="F45" s="12" t="n"/>
      <c r="G45" s="88">
        <f>SUMIFS($H$5:$H$34,$C$5:$C$34,$A45)</f>
        <v/>
      </c>
      <c r="H45" s="12" t="n"/>
      <c r="I45" s="89">
        <f>IFERROR($E45/$C45,0)</f>
        <v/>
      </c>
      <c r="J45" s="12" t="n"/>
      <c r="K45" s="90">
        <f>IF($C45=0,"-",IF($I45&gt;1,"OVER",IF($I45&gt;=0.9,"WATCH","OK")))</f>
        <v/>
      </c>
      <c r="L45" s="12" t="n"/>
      <c r="M45" s="12" t="n"/>
    </row>
    <row r="46" ht="30" customHeight="1">
      <c r="A46" s="90" t="inlineStr">
        <is>
          <t>Consulting</t>
        </is>
      </c>
      <c r="B46" s="12" t="n"/>
      <c r="C46" s="88">
        <f>SUMIFS($E$5:$E$34,$C$5:$C$34,$A46)</f>
        <v/>
      </c>
      <c r="D46" s="12" t="n"/>
      <c r="E46" s="88">
        <f>SUMIFS($G$5:$G$34,$C$5:$C$34,$A46)</f>
        <v/>
      </c>
      <c r="F46" s="12" t="n"/>
      <c r="G46" s="88">
        <f>SUMIFS($H$5:$H$34,$C$5:$C$34,$A46)</f>
        <v/>
      </c>
      <c r="H46" s="12" t="n"/>
      <c r="I46" s="89">
        <f>IFERROR($E46/$C46,0)</f>
        <v/>
      </c>
      <c r="J46" s="12" t="n"/>
      <c r="K46" s="90">
        <f>IF($C46=0,"-",IF($I46&gt;1,"OVER",IF($I46&gt;=0.9,"WATCH","OK")))</f>
        <v/>
      </c>
      <c r="L46" s="12" t="n"/>
      <c r="M46" s="12" t="n"/>
    </row>
    <row r="47" ht="30" customHeight="1">
      <c r="A47" s="90" t="inlineStr">
        <is>
          <t>Training</t>
        </is>
      </c>
      <c r="B47" s="12" t="n"/>
      <c r="C47" s="88">
        <f>SUMIFS($E$5:$E$34,$C$5:$C$34,$A47)</f>
        <v/>
      </c>
      <c r="D47" s="12" t="n"/>
      <c r="E47" s="88">
        <f>SUMIFS($G$5:$G$34,$C$5:$C$34,$A47)</f>
        <v/>
      </c>
      <c r="F47" s="12" t="n"/>
      <c r="G47" s="88">
        <f>SUMIFS($H$5:$H$34,$C$5:$C$34,$A47)</f>
        <v/>
      </c>
      <c r="H47" s="12" t="n"/>
      <c r="I47" s="89">
        <f>IFERROR($E47/$C47,0)</f>
        <v/>
      </c>
      <c r="J47" s="12" t="n"/>
      <c r="K47" s="90">
        <f>IF($C47=0,"-",IF($I47&gt;1,"OVER",IF($I47&gt;=0.9,"WATCH","OK")))</f>
        <v/>
      </c>
      <c r="L47" s="12" t="n"/>
      <c r="M47" s="12" t="n"/>
    </row>
    <row r="48" ht="30" customHeight="1">
      <c r="A48" s="90" t="inlineStr">
        <is>
          <t>Travel</t>
        </is>
      </c>
      <c r="B48" s="12" t="n"/>
      <c r="C48" s="88">
        <f>SUMIFS($E$5:$E$34,$C$5:$C$34,$A48)</f>
        <v/>
      </c>
      <c r="D48" s="12" t="n"/>
      <c r="E48" s="88">
        <f>SUMIFS($G$5:$G$34,$C$5:$C$34,$A48)</f>
        <v/>
      </c>
      <c r="F48" s="12" t="n"/>
      <c r="G48" s="88">
        <f>SUMIFS($H$5:$H$34,$C$5:$C$34,$A48)</f>
        <v/>
      </c>
      <c r="H48" s="12" t="n"/>
      <c r="I48" s="89">
        <f>IFERROR($E48/$C48,0)</f>
        <v/>
      </c>
      <c r="J48" s="12" t="n"/>
      <c r="K48" s="90">
        <f>IF($C48=0,"-",IF($I48&gt;1,"OVER",IF($I48&gt;=0.9,"WATCH","OK")))</f>
        <v/>
      </c>
      <c r="L48" s="12" t="n"/>
      <c r="M48" s="12" t="n"/>
    </row>
    <row r="49" ht="30" customHeight="1">
      <c r="A49" s="90" t="inlineStr">
        <is>
          <t>Other</t>
        </is>
      </c>
      <c r="B49" s="12" t="n"/>
      <c r="C49" s="88">
        <f>SUMIFS($E$5:$E$34,$C$5:$C$34,$A49)</f>
        <v/>
      </c>
      <c r="D49" s="12" t="n"/>
      <c r="E49" s="88">
        <f>SUMIFS($G$5:$G$34,$C$5:$C$34,$A49)</f>
        <v/>
      </c>
      <c r="F49" s="12" t="n"/>
      <c r="G49" s="88">
        <f>SUMIFS($H$5:$H$34,$C$5:$C$34,$A49)</f>
        <v/>
      </c>
      <c r="H49" s="12" t="n"/>
      <c r="I49" s="89">
        <f>IFERROR($E49/$C49,0)</f>
        <v/>
      </c>
      <c r="J49" s="12" t="n"/>
      <c r="K49" s="90">
        <f>IF($C49=0,"-",IF($I49&gt;1,"OVER",IF($I49&gt;=0.9,"WATCH","OK")))</f>
        <v/>
      </c>
      <c r="L49" s="12" t="n"/>
      <c r="M49" s="12" t="n"/>
    </row>
    <row r="50" ht="16" customHeight="1">
      <c r="A50" s="3" t="inlineStr">
        <is>
          <t>Utilisation = actual / approved.  WATCH at 90% and above, OVER above 100%. Every figure sums the cost register above - nothing is typed twice.</t>
        </is>
      </c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</row>
  </sheetData>
  <mergeCells count="72">
    <mergeCell ref="E43:F43"/>
    <mergeCell ref="A48:B48"/>
    <mergeCell ref="K41:M41"/>
    <mergeCell ref="G43:H43"/>
    <mergeCell ref="K47:M47"/>
    <mergeCell ref="K44:M44"/>
    <mergeCell ref="I46:J46"/>
    <mergeCell ref="K46:M46"/>
    <mergeCell ref="A49:B49"/>
    <mergeCell ref="G42:H42"/>
    <mergeCell ref="C42:D42"/>
    <mergeCell ref="A45:B45"/>
    <mergeCell ref="I49:J49"/>
    <mergeCell ref="E42:F42"/>
    <mergeCell ref="C45:D45"/>
    <mergeCell ref="I45:J45"/>
    <mergeCell ref="K43:M43"/>
    <mergeCell ref="E48:F48"/>
    <mergeCell ref="G48:H48"/>
    <mergeCell ref="E44:F44"/>
    <mergeCell ref="E38:F38"/>
    <mergeCell ref="C47:D47"/>
    <mergeCell ref="I47:J47"/>
    <mergeCell ref="G38:H38"/>
    <mergeCell ref="K42:M42"/>
    <mergeCell ref="A41:B41"/>
    <mergeCell ref="C41:D41"/>
    <mergeCell ref="A40:M40"/>
    <mergeCell ref="I41:J41"/>
    <mergeCell ref="A37:B37"/>
    <mergeCell ref="G37:H37"/>
    <mergeCell ref="A46:B46"/>
    <mergeCell ref="C44:D44"/>
    <mergeCell ref="I37:J37"/>
    <mergeCell ref="K48:M48"/>
    <mergeCell ref="G49:H49"/>
    <mergeCell ref="C43:D43"/>
    <mergeCell ref="A36:M36"/>
    <mergeCell ref="I43:J43"/>
    <mergeCell ref="C46:D46"/>
    <mergeCell ref="A1:M1"/>
    <mergeCell ref="E46:F46"/>
    <mergeCell ref="I42:J42"/>
    <mergeCell ref="A47:B47"/>
    <mergeCell ref="A42:B42"/>
    <mergeCell ref="E49:F49"/>
    <mergeCell ref="E45:F45"/>
    <mergeCell ref="G45:H45"/>
    <mergeCell ref="K49:M49"/>
    <mergeCell ref="C48:D48"/>
    <mergeCell ref="I48:J48"/>
    <mergeCell ref="I44:J44"/>
    <mergeCell ref="A38:B38"/>
    <mergeCell ref="C38:D38"/>
    <mergeCell ref="I38:J38"/>
    <mergeCell ref="G47:H47"/>
    <mergeCell ref="A43:B43"/>
    <mergeCell ref="K38:L38"/>
    <mergeCell ref="E41:F41"/>
    <mergeCell ref="C37:D37"/>
    <mergeCell ref="G41:H41"/>
    <mergeCell ref="K45:M45"/>
    <mergeCell ref="A3:M3"/>
    <mergeCell ref="E37:F37"/>
    <mergeCell ref="K37:L37"/>
    <mergeCell ref="A44:B44"/>
    <mergeCell ref="G44:H44"/>
    <mergeCell ref="G46:H46"/>
    <mergeCell ref="A50:M50"/>
    <mergeCell ref="A2:M2"/>
    <mergeCell ref="E47:F47"/>
    <mergeCell ref="C49:D49"/>
  </mergeCells>
  <conditionalFormatting sqref="L5:L34">
    <cfRule type="expression" priority="1" dxfId="3" stopIfTrue="1">
      <formula>EXACT($L5,"On Track")</formula>
    </cfRule>
    <cfRule type="expression" priority="2" dxfId="4" stopIfTrue="1">
      <formula>EXACT($L5,"Monitor")</formula>
    </cfRule>
    <cfRule type="expression" priority="3" dxfId="5" stopIfTrue="1">
      <formula>EXACT($L5,"Forecast Overrun")</formula>
    </cfRule>
    <cfRule type="expression" priority="4" dxfId="5" stopIfTrue="1">
      <formula>EXACT($L5,"Over Budget")</formula>
    </cfRule>
    <cfRule type="expression" priority="5" dxfId="8" stopIfTrue="1">
      <formula>EXACT($L5,"No Budget")</formula>
    </cfRule>
  </conditionalFormatting>
  <conditionalFormatting sqref="K5:K34">
    <cfRule type="dataBar" priority="6">
      <dataBar>
        <cfvo type="num" val="0"/>
        <cfvo type="num" val="1"/>
        <color rgb="002E75B6"/>
      </dataBar>
    </cfRule>
  </conditionalFormatting>
  <conditionalFormatting sqref="J5:J34">
    <cfRule type="expression" priority="7" dxfId="5" stopIfTrue="0">
      <formula>AND(ISNUMBER($J5),$J5&lt;0)</formula>
    </cfRule>
  </conditionalFormatting>
  <conditionalFormatting sqref="A5:A34">
    <cfRule type="expression" priority="8" dxfId="5" stopIfTrue="0">
      <formula>AND($A5&lt;&gt;"",COUNTIF($A$5:$A$34,$A5)&gt;1)</formula>
    </cfRule>
  </conditionalFormatting>
  <conditionalFormatting sqref="D5:D34">
    <cfRule type="expression" priority="9" dxfId="4" stopIfTrue="0">
      <formula>AND($A5&lt;&gt;"",D5="")</formula>
    </cfRule>
  </conditionalFormatting>
  <conditionalFormatting sqref="I38">
    <cfRule type="expression" priority="10" dxfId="5" stopIfTrue="1">
      <formula>$I$38&gt;1</formula>
    </cfRule>
    <cfRule type="expression" priority="11" dxfId="4" stopIfTrue="1">
      <formula>$I$38&gt;=0.9</formula>
    </cfRule>
    <cfRule type="expression" priority="12" dxfId="3" stopIfTrue="0">
      <formula>$I$38&gt;=0</formula>
    </cfRule>
  </conditionalFormatting>
  <conditionalFormatting sqref="I42:I49">
    <cfRule type="expression" priority="13" dxfId="5" stopIfTrue="1">
      <formula>$I42&gt;1</formula>
    </cfRule>
    <cfRule type="expression" priority="14" dxfId="4" stopIfTrue="1">
      <formula>$I42&gt;=0.9</formula>
    </cfRule>
    <cfRule type="expression" priority="15" dxfId="3" stopIfTrue="0">
      <formula>$I42&gt;=0</formula>
    </cfRule>
  </conditionalFormatting>
  <conditionalFormatting sqref="K42:K49">
    <cfRule type="expression" priority="16" dxfId="5" stopIfTrue="1">
      <formula>EXACT($K42,"OVER")</formula>
    </cfRule>
    <cfRule type="expression" priority="17" dxfId="4" stopIfTrue="1">
      <formula>EXACT($K42,"WATCH")</formula>
    </cfRule>
    <cfRule type="expression" priority="18" dxfId="3" stopIfTrue="1">
      <formula>EXACT($K42,"OK")</formula>
    </cfRule>
  </conditionalFormatting>
  <dataValidations count="3">
    <dataValidation sqref="B5:B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C5:C34" showDropDown="0" showInputMessage="1" showErrorMessage="1" allowBlank="1" errorTitle="Value not allowed" error="Pick a value from the drop-down list (L_CostCategory)." promptTitle="Select" prompt="Choose a value from the drop-down list." type="list" errorStyle="stop">
      <formula1>L_CostCategory</formula1>
    </dataValidation>
    <dataValidation sqref="D5:D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8" customWidth="1" min="4" max="4"/>
    <col width="26" customWidth="1" min="5" max="5"/>
    <col width="13" customWidth="1" min="6" max="6"/>
    <col width="12" customWidth="1" min="7" max="7"/>
    <col width="12" customWidth="1" min="8" max="8"/>
    <col width="14" customWidth="1" min="9" max="9"/>
    <col width="13" customWidth="1" min="10" max="10"/>
    <col width="15" customWidth="1" min="11" max="11"/>
    <col width="26" customWidth="1" min="12" max="12"/>
  </cols>
  <sheetData>
    <row r="1" ht="32" customHeight="1">
      <c r="A1" s="1" t="inlineStr">
        <is>
          <t>RESOURCE MANAGEMENT</t>
        </is>
      </c>
    </row>
    <row r="2" ht="17" customHeight="1">
      <c r="A2" s="2" t="inlineStr">
        <is>
          <t>Allocation of people across projects. Utilisation is summed per person automatically: over 100% = red (overloaded), 80-100% = amber, below 80% = green.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Resource ID</t>
        </is>
      </c>
      <c r="B4" s="64" t="inlineStr">
        <is>
          <t>Resource</t>
        </is>
      </c>
      <c r="C4" s="64" t="inlineStr">
        <is>
          <t>Department</t>
        </is>
      </c>
      <c r="D4" s="64" t="inlineStr">
        <is>
          <t>Role</t>
        </is>
      </c>
      <c r="E4" s="64" t="inlineStr">
        <is>
          <t>Project</t>
        </is>
      </c>
      <c r="F4" s="64" t="inlineStr">
        <is>
          <t>Allocation %</t>
        </is>
      </c>
      <c r="G4" s="64" t="inlineStr">
        <is>
          <t>Start Date</t>
        </is>
      </c>
      <c r="H4" s="64" t="inlineStr">
        <is>
          <t>End Date</t>
        </is>
      </c>
      <c r="I4" s="64" t="inlineStr">
        <is>
          <t>Availability %</t>
        </is>
      </c>
      <c r="J4" s="64" t="inlineStr">
        <is>
          <t>Utilisation %</t>
        </is>
      </c>
      <c r="K4" s="64" t="inlineStr">
        <is>
          <t>Status</t>
        </is>
      </c>
      <c r="L4" s="64" t="inlineStr">
        <is>
          <t>Notes</t>
        </is>
      </c>
    </row>
    <row r="5" ht="28" customHeight="1">
      <c r="A5" s="65" t="inlineStr">
        <is>
          <t>RES-001</t>
        </is>
      </c>
      <c r="B5" s="65" t="inlineStr">
        <is>
          <t>Ahmed Khan</t>
        </is>
      </c>
      <c r="C5" s="65" t="inlineStr">
        <is>
          <t>IT</t>
        </is>
      </c>
      <c r="D5" s="65" t="inlineStr">
        <is>
          <t>Project Manager</t>
        </is>
      </c>
      <c r="E5" s="65" t="inlineStr">
        <is>
          <t>ERP Implementation</t>
        </is>
      </c>
      <c r="F5" s="67" t="n">
        <v>0.6</v>
      </c>
      <c r="G5" s="66" t="n">
        <v>46204</v>
      </c>
      <c r="H5" s="66" t="n">
        <v>46402</v>
      </c>
      <c r="I5" s="67" t="n">
        <v>1</v>
      </c>
      <c r="J5" s="67">
        <f>IF(B5="","",SUMIFS(F$5:F$34,B$5:B$34,B5))</f>
        <v/>
      </c>
      <c r="K5" s="65">
        <f>IF(OR(B5="",J5=""),"",IF(J5&gt;1.001,"Overloaded",IF(J5&gt;=0.8,"At Capacity","Available")))</f>
        <v/>
      </c>
      <c r="L5" s="70" t="inlineStr">
        <is>
          <t>SAMPLE</t>
        </is>
      </c>
    </row>
    <row r="6" ht="28" customHeight="1">
      <c r="A6" s="65" t="inlineStr">
        <is>
          <t>RES-002</t>
        </is>
      </c>
      <c r="B6" s="65" t="inlineStr">
        <is>
          <t>Ahmed Khan</t>
        </is>
      </c>
      <c r="C6" s="65" t="inlineStr">
        <is>
          <t>IT</t>
        </is>
      </c>
      <c r="D6" s="65" t="inlineStr">
        <is>
          <t>Project Manager</t>
        </is>
      </c>
      <c r="E6" s="65" t="inlineStr">
        <is>
          <t>Payroll Reporting Portal</t>
        </is>
      </c>
      <c r="F6" s="67" t="n">
        <v>0.4</v>
      </c>
      <c r="G6" s="66" t="n">
        <v>46113</v>
      </c>
      <c r="H6" s="66" t="n">
        <v>46295</v>
      </c>
      <c r="I6" s="67" t="n">
        <v>1</v>
      </c>
      <c r="J6" s="67">
        <f>IF(B6="","",SUMIFS(F$5:F$34,B$5:B$34,B6))</f>
        <v/>
      </c>
      <c r="K6" s="65">
        <f>IF(OR(B6="",J6=""),"",IF(J6&gt;1.001,"Overloaded",IF(J6&gt;=0.8,"At Capacity","Available")))</f>
        <v/>
      </c>
      <c r="L6" s="70" t="inlineStr">
        <is>
          <t>SAMPLE</t>
        </is>
      </c>
    </row>
    <row r="7" ht="28" customHeight="1">
      <c r="A7" s="65" t="inlineStr">
        <is>
          <t>RES-003</t>
        </is>
      </c>
      <c r="B7" s="65" t="inlineStr">
        <is>
          <t>Lisa Chen</t>
        </is>
      </c>
      <c r="C7" s="65" t="inlineStr">
        <is>
          <t>IT</t>
        </is>
      </c>
      <c r="D7" s="65" t="inlineStr">
        <is>
          <t>Project Manager</t>
        </is>
      </c>
      <c r="E7" s="65" t="inlineStr">
        <is>
          <t>Network Infrastructure Upgrade</t>
        </is>
      </c>
      <c r="F7" s="67" t="n">
        <v>0.7</v>
      </c>
      <c r="G7" s="66" t="n">
        <v>46249</v>
      </c>
      <c r="H7" s="66" t="n">
        <v>46356</v>
      </c>
      <c r="I7" s="67" t="n">
        <v>1</v>
      </c>
      <c r="J7" s="67">
        <f>IF(B7="","",SUMIFS(F$5:F$34,B$5:B$34,B7))</f>
        <v/>
      </c>
      <c r="K7" s="65">
        <f>IF(OR(B7="",J7=""),"",IF(J7&gt;1.001,"Overloaded",IF(J7&gt;=0.8,"At Capacity","Available")))</f>
        <v/>
      </c>
      <c r="L7" s="70" t="inlineStr">
        <is>
          <t>SAMPLE</t>
        </is>
      </c>
    </row>
    <row r="8" ht="28" customHeight="1">
      <c r="A8" s="65" t="inlineStr">
        <is>
          <t>RES-004</t>
        </is>
      </c>
      <c r="B8" s="65" t="inlineStr">
        <is>
          <t>Lisa Chen</t>
        </is>
      </c>
      <c r="C8" s="65" t="inlineStr">
        <is>
          <t>IT</t>
        </is>
      </c>
      <c r="D8" s="65" t="inlineStr">
        <is>
          <t>Project Manager</t>
        </is>
      </c>
      <c r="E8" s="65" t="inlineStr">
        <is>
          <t>Office Security Upgrade</t>
        </is>
      </c>
      <c r="F8" s="67" t="n">
        <v>0.5</v>
      </c>
      <c r="G8" s="66" t="n">
        <v>46280</v>
      </c>
      <c r="H8" s="66" t="n">
        <v>46371</v>
      </c>
      <c r="I8" s="67" t="n">
        <v>1</v>
      </c>
      <c r="J8" s="67">
        <f>IF(B8="","",SUMIFS(F$5:F$34,B$5:B$34,B8))</f>
        <v/>
      </c>
      <c r="K8" s="65">
        <f>IF(OR(B8="",J8=""),"",IF(J8&gt;1.001,"Overloaded",IF(J8&gt;=0.8,"At Capacity","Available")))</f>
        <v/>
      </c>
      <c r="L8" s="70" t="inlineStr">
        <is>
          <t>SAMPLE - over-allocated</t>
        </is>
      </c>
    </row>
    <row r="9" ht="28" customHeight="1">
      <c r="A9" s="65" t="inlineStr">
        <is>
          <t>RES-005</t>
        </is>
      </c>
      <c r="B9" s="65" t="inlineStr">
        <is>
          <t>David Okoro</t>
        </is>
      </c>
      <c r="C9" s="65" t="inlineStr">
        <is>
          <t>HR</t>
        </is>
      </c>
      <c r="D9" s="65" t="inlineStr">
        <is>
          <t>Project Manager</t>
        </is>
      </c>
      <c r="E9" s="65" t="inlineStr">
        <is>
          <t>HR Management System</t>
        </is>
      </c>
      <c r="F9" s="67" t="n">
        <v>0.8</v>
      </c>
      <c r="G9" s="66" t="n">
        <v>46266</v>
      </c>
      <c r="H9" s="66" t="n">
        <v>46522</v>
      </c>
      <c r="I9" s="67" t="n">
        <v>1</v>
      </c>
      <c r="J9" s="67">
        <f>IF(B9="","",SUMIFS(F$5:F$34,B$5:B$34,B9))</f>
        <v/>
      </c>
      <c r="K9" s="65">
        <f>IF(OR(B9="",J9=""),"",IF(J9&gt;1.001,"Overloaded",IF(J9&gt;=0.8,"At Capacity","Available")))</f>
        <v/>
      </c>
      <c r="L9" s="70" t="inlineStr">
        <is>
          <t>SAMPLE</t>
        </is>
      </c>
    </row>
    <row r="10" ht="28" customHeight="1">
      <c r="A10" s="65" t="inlineStr">
        <is>
          <t>RES-006</t>
        </is>
      </c>
      <c r="B10" s="65" t="inlineStr">
        <is>
          <t>Maria Silva</t>
        </is>
      </c>
      <c r="C10" s="65" t="inlineStr">
        <is>
          <t>Marketing</t>
        </is>
      </c>
      <c r="D10" s="65" t="inlineStr">
        <is>
          <t>Business Analyst</t>
        </is>
      </c>
      <c r="E10" s="65" t="inlineStr">
        <is>
          <t>Website Development</t>
        </is>
      </c>
      <c r="F10" s="67" t="n">
        <v>0.5</v>
      </c>
      <c r="G10" s="66" t="n">
        <v>46280</v>
      </c>
      <c r="H10" s="66" t="n">
        <v>46361</v>
      </c>
      <c r="I10" s="67" t="n">
        <v>1</v>
      </c>
      <c r="J10" s="67">
        <f>IF(B10="","",SUMIFS(F$5:F$34,B$5:B$34,B10))</f>
        <v/>
      </c>
      <c r="K10" s="65">
        <f>IF(OR(B10="",J10=""),"",IF(J10&gt;1.001,"Overloaded",IF(J10&gt;=0.8,"At Capacity","Available")))</f>
        <v/>
      </c>
      <c r="L10" s="70" t="inlineStr">
        <is>
          <t>SAMPLE</t>
        </is>
      </c>
    </row>
    <row r="11" ht="28" customHeight="1">
      <c r="A11" s="65" t="inlineStr">
        <is>
          <t>RES-007</t>
        </is>
      </c>
      <c r="B11" s="65" t="inlineStr">
        <is>
          <t>Maria Silva</t>
        </is>
      </c>
      <c r="C11" s="65" t="inlineStr">
        <is>
          <t>Marketing</t>
        </is>
      </c>
      <c r="D11" s="65" t="inlineStr">
        <is>
          <t>Business Analyst</t>
        </is>
      </c>
      <c r="E11" s="65" t="inlineStr">
        <is>
          <t>ERP Implementation</t>
        </is>
      </c>
      <c r="F11" s="67" t="n">
        <v>0.3</v>
      </c>
      <c r="G11" s="66" t="n">
        <v>46349</v>
      </c>
      <c r="H11" s="66" t="n">
        <v>46402</v>
      </c>
      <c r="I11" s="67" t="n">
        <v>1</v>
      </c>
      <c r="J11" s="67">
        <f>IF(B11="","",SUMIFS(F$5:F$34,B$5:B$34,B11))</f>
        <v/>
      </c>
      <c r="K11" s="65">
        <f>IF(OR(B11="",J11=""),"",IF(J11&gt;1.001,"Overloaded",IF(J11&gt;=0.8,"At Capacity","Available")))</f>
        <v/>
      </c>
      <c r="L11" s="70" t="inlineStr">
        <is>
          <t>SAMPLE</t>
        </is>
      </c>
    </row>
    <row r="12" ht="28" customHeight="1">
      <c r="A12" s="65" t="inlineStr">
        <is>
          <t>RES-008</t>
        </is>
      </c>
      <c r="B12" s="65" t="inlineStr">
        <is>
          <t>Priya Raman</t>
        </is>
      </c>
      <c r="C12" s="65" t="inlineStr">
        <is>
          <t>Finance</t>
        </is>
      </c>
      <c r="D12" s="65" t="inlineStr">
        <is>
          <t>PMO Analyst</t>
        </is>
      </c>
      <c r="E12" s="65" t="inlineStr">
        <is>
          <t>ERP Implementation</t>
        </is>
      </c>
      <c r="F12" s="67" t="n">
        <v>0.6</v>
      </c>
      <c r="G12" s="66" t="n">
        <v>46204</v>
      </c>
      <c r="H12" s="66" t="n">
        <v>46402</v>
      </c>
      <c r="I12" s="67" t="n">
        <v>1</v>
      </c>
      <c r="J12" s="67">
        <f>IF(B12="","",SUMIFS(F$5:F$34,B$5:B$34,B12))</f>
        <v/>
      </c>
      <c r="K12" s="65">
        <f>IF(OR(B12="",J12=""),"",IF(J12&gt;1.001,"Overloaded",IF(J12&gt;=0.8,"At Capacity","Available")))</f>
        <v/>
      </c>
      <c r="L12" s="70" t="inlineStr">
        <is>
          <t>SAMPLE</t>
        </is>
      </c>
    </row>
    <row r="13" ht="28" customHeight="1">
      <c r="A13" s="65" t="inlineStr">
        <is>
          <t>RES-009</t>
        </is>
      </c>
      <c r="B13" s="65" t="inlineStr">
        <is>
          <t>Tom Becker</t>
        </is>
      </c>
      <c r="C13" s="65" t="inlineStr">
        <is>
          <t>Operations</t>
        </is>
      </c>
      <c r="D13" s="65" t="inlineStr">
        <is>
          <t>IT Lead</t>
        </is>
      </c>
      <c r="E13" s="65" t="inlineStr">
        <is>
          <t>Network Infrastructure Upgrade</t>
        </is>
      </c>
      <c r="F13" s="67" t="n">
        <v>0.4</v>
      </c>
      <c r="G13" s="66" t="n">
        <v>46249</v>
      </c>
      <c r="H13" s="66" t="n">
        <v>46356</v>
      </c>
      <c r="I13" s="67" t="n">
        <v>1</v>
      </c>
      <c r="J13" s="67">
        <f>IF(B13="","",SUMIFS(F$5:F$34,B$5:B$34,B13))</f>
        <v/>
      </c>
      <c r="K13" s="65">
        <f>IF(OR(B13="",J13=""),"",IF(J13&gt;1.001,"Overloaded",IF(J13&gt;=0.8,"At Capacity","Available")))</f>
        <v/>
      </c>
      <c r="L13" s="70" t="inlineStr">
        <is>
          <t>SAMPLE</t>
        </is>
      </c>
    </row>
    <row r="14" ht="28" customHeight="1">
      <c r="A14" s="65" t="inlineStr">
        <is>
          <t>RES-010</t>
        </is>
      </c>
      <c r="B14" s="65" t="inlineStr">
        <is>
          <t>Tom Becker</t>
        </is>
      </c>
      <c r="C14" s="65" t="inlineStr">
        <is>
          <t>Operations</t>
        </is>
      </c>
      <c r="D14" s="65" t="inlineStr">
        <is>
          <t>IT Lead</t>
        </is>
      </c>
      <c r="E14" s="65" t="inlineStr">
        <is>
          <t>Office Security Upgrade</t>
        </is>
      </c>
      <c r="F14" s="67" t="n">
        <v>0.4</v>
      </c>
      <c r="G14" s="66" t="n">
        <v>46280</v>
      </c>
      <c r="H14" s="66" t="n">
        <v>46371</v>
      </c>
      <c r="I14" s="67" t="n">
        <v>1</v>
      </c>
      <c r="J14" s="67">
        <f>IF(B14="","",SUMIFS(F$5:F$34,B$5:B$34,B14))</f>
        <v/>
      </c>
      <c r="K14" s="65">
        <f>IF(OR(B14="",J14=""),"",IF(J14&gt;1.001,"Overloaded",IF(J14&gt;=0.8,"At Capacity","Available")))</f>
        <v/>
      </c>
      <c r="L14" s="70" t="inlineStr">
        <is>
          <t>SAMPLE</t>
        </is>
      </c>
    </row>
    <row r="15" ht="28" customHeight="1">
      <c r="A15" s="65" t="inlineStr">
        <is>
          <t>RES-011</t>
        </is>
      </c>
      <c r="B15" s="65" t="inlineStr">
        <is>
          <t>Grace Alemu</t>
        </is>
      </c>
      <c r="C15" s="65" t="inlineStr">
        <is>
          <t>IT</t>
        </is>
      </c>
      <c r="D15" s="65" t="inlineStr">
        <is>
          <t>QA Lead</t>
        </is>
      </c>
      <c r="E15" s="65" t="inlineStr">
        <is>
          <t>ERP Implementation</t>
        </is>
      </c>
      <c r="F15" s="67" t="n">
        <v>0.5</v>
      </c>
      <c r="G15" s="66" t="n">
        <v>46321</v>
      </c>
      <c r="H15" s="66" t="n">
        <v>46402</v>
      </c>
      <c r="I15" s="67" t="n">
        <v>1</v>
      </c>
      <c r="J15" s="67">
        <f>IF(B15="","",SUMIFS(F$5:F$34,B$5:B$34,B15))</f>
        <v/>
      </c>
      <c r="K15" s="65">
        <f>IF(OR(B15="",J15=""),"",IF(J15&gt;1.001,"Overloaded",IF(J15&gt;=0.8,"At Capacity","Available")))</f>
        <v/>
      </c>
      <c r="L15" s="70" t="inlineStr">
        <is>
          <t>SAMPLE</t>
        </is>
      </c>
    </row>
    <row r="16" ht="28" customHeight="1">
      <c r="A16" s="65" t="n"/>
      <c r="B16" s="65" t="n"/>
      <c r="C16" s="65" t="n"/>
      <c r="D16" s="65" t="n"/>
      <c r="E16" s="65" t="n"/>
      <c r="F16" s="67" t="n"/>
      <c r="G16" s="66" t="n"/>
      <c r="H16" s="66" t="n"/>
      <c r="I16" s="67" t="n"/>
      <c r="J16" s="67">
        <f>IF(B16="","",SUMIFS(F$5:F$34,B$5:B$34,B16))</f>
        <v/>
      </c>
      <c r="K16" s="65">
        <f>IF(OR(B16="",J16=""),"",IF(J16&gt;1.001,"Overloaded",IF(J16&gt;=0.8,"At Capacity","Available")))</f>
        <v/>
      </c>
      <c r="L16" s="70" t="n"/>
    </row>
    <row r="17" ht="28" customHeight="1">
      <c r="A17" s="65" t="n"/>
      <c r="B17" s="65" t="n"/>
      <c r="C17" s="65" t="n"/>
      <c r="D17" s="65" t="n"/>
      <c r="E17" s="65" t="n"/>
      <c r="F17" s="67" t="n"/>
      <c r="G17" s="66" t="n"/>
      <c r="H17" s="66" t="n"/>
      <c r="I17" s="67" t="n"/>
      <c r="J17" s="67">
        <f>IF(B17="","",SUMIFS(F$5:F$34,B$5:B$34,B17))</f>
        <v/>
      </c>
      <c r="K17" s="65">
        <f>IF(OR(B17="",J17=""),"",IF(J17&gt;1.001,"Overloaded",IF(J17&gt;=0.8,"At Capacity","Available")))</f>
        <v/>
      </c>
      <c r="L17" s="70" t="n"/>
    </row>
    <row r="18" ht="28" customHeight="1">
      <c r="A18" s="65" t="n"/>
      <c r="B18" s="65" t="n"/>
      <c r="C18" s="65" t="n"/>
      <c r="D18" s="65" t="n"/>
      <c r="E18" s="65" t="n"/>
      <c r="F18" s="67" t="n"/>
      <c r="G18" s="66" t="n"/>
      <c r="H18" s="66" t="n"/>
      <c r="I18" s="67" t="n"/>
      <c r="J18" s="67">
        <f>IF(B18="","",SUMIFS(F$5:F$34,B$5:B$34,B18))</f>
        <v/>
      </c>
      <c r="K18" s="65">
        <f>IF(OR(B18="",J18=""),"",IF(J18&gt;1.001,"Overloaded",IF(J18&gt;=0.8,"At Capacity","Available")))</f>
        <v/>
      </c>
      <c r="L18" s="70" t="n"/>
    </row>
    <row r="19" ht="28" customHeight="1">
      <c r="A19" s="65" t="n"/>
      <c r="B19" s="65" t="n"/>
      <c r="C19" s="65" t="n"/>
      <c r="D19" s="65" t="n"/>
      <c r="E19" s="65" t="n"/>
      <c r="F19" s="67" t="n"/>
      <c r="G19" s="66" t="n"/>
      <c r="H19" s="66" t="n"/>
      <c r="I19" s="67" t="n"/>
      <c r="J19" s="67">
        <f>IF(B19="","",SUMIFS(F$5:F$34,B$5:B$34,B19))</f>
        <v/>
      </c>
      <c r="K19" s="65">
        <f>IF(OR(B19="",J19=""),"",IF(J19&gt;1.001,"Overloaded",IF(J19&gt;=0.8,"At Capacity","Available")))</f>
        <v/>
      </c>
      <c r="L19" s="70" t="n"/>
    </row>
    <row r="20" ht="28" customHeight="1">
      <c r="A20" s="65" t="n"/>
      <c r="B20" s="65" t="n"/>
      <c r="C20" s="65" t="n"/>
      <c r="D20" s="65" t="n"/>
      <c r="E20" s="65" t="n"/>
      <c r="F20" s="67" t="n"/>
      <c r="G20" s="66" t="n"/>
      <c r="H20" s="66" t="n"/>
      <c r="I20" s="67" t="n"/>
      <c r="J20" s="67">
        <f>IF(B20="","",SUMIFS(F$5:F$34,B$5:B$34,B20))</f>
        <v/>
      </c>
      <c r="K20" s="65">
        <f>IF(OR(B20="",J20=""),"",IF(J20&gt;1.001,"Overloaded",IF(J20&gt;=0.8,"At Capacity","Available")))</f>
        <v/>
      </c>
      <c r="L20" s="70" t="n"/>
    </row>
    <row r="21" ht="28" customHeight="1">
      <c r="A21" s="65" t="n"/>
      <c r="B21" s="65" t="n"/>
      <c r="C21" s="65" t="n"/>
      <c r="D21" s="65" t="n"/>
      <c r="E21" s="65" t="n"/>
      <c r="F21" s="67" t="n"/>
      <c r="G21" s="66" t="n"/>
      <c r="H21" s="66" t="n"/>
      <c r="I21" s="67" t="n"/>
      <c r="J21" s="67">
        <f>IF(B21="","",SUMIFS(F$5:F$34,B$5:B$34,B21))</f>
        <v/>
      </c>
      <c r="K21" s="65">
        <f>IF(OR(B21="",J21=""),"",IF(J21&gt;1.001,"Overloaded",IF(J21&gt;=0.8,"At Capacity","Available")))</f>
        <v/>
      </c>
      <c r="L21" s="70" t="n"/>
    </row>
    <row r="22" ht="28" customHeight="1">
      <c r="A22" s="65" t="n"/>
      <c r="B22" s="65" t="n"/>
      <c r="C22" s="65" t="n"/>
      <c r="D22" s="65" t="n"/>
      <c r="E22" s="65" t="n"/>
      <c r="F22" s="67" t="n"/>
      <c r="G22" s="66" t="n"/>
      <c r="H22" s="66" t="n"/>
      <c r="I22" s="67" t="n"/>
      <c r="J22" s="67">
        <f>IF(B22="","",SUMIFS(F$5:F$34,B$5:B$34,B22))</f>
        <v/>
      </c>
      <c r="K22" s="65">
        <f>IF(OR(B22="",J22=""),"",IF(J22&gt;1.001,"Overloaded",IF(J22&gt;=0.8,"At Capacity","Available")))</f>
        <v/>
      </c>
      <c r="L22" s="70" t="n"/>
    </row>
    <row r="23" ht="28" customHeight="1">
      <c r="A23" s="65" t="n"/>
      <c r="B23" s="65" t="n"/>
      <c r="C23" s="65" t="n"/>
      <c r="D23" s="65" t="n"/>
      <c r="E23" s="65" t="n"/>
      <c r="F23" s="67" t="n"/>
      <c r="G23" s="66" t="n"/>
      <c r="H23" s="66" t="n"/>
      <c r="I23" s="67" t="n"/>
      <c r="J23" s="67">
        <f>IF(B23="","",SUMIFS(F$5:F$34,B$5:B$34,B23))</f>
        <v/>
      </c>
      <c r="K23" s="65">
        <f>IF(OR(B23="",J23=""),"",IF(J23&gt;1.001,"Overloaded",IF(J23&gt;=0.8,"At Capacity","Available")))</f>
        <v/>
      </c>
      <c r="L23" s="70" t="n"/>
    </row>
    <row r="24" ht="28" customHeight="1">
      <c r="A24" s="65" t="n"/>
      <c r="B24" s="65" t="n"/>
      <c r="C24" s="65" t="n"/>
      <c r="D24" s="65" t="n"/>
      <c r="E24" s="65" t="n"/>
      <c r="F24" s="67" t="n"/>
      <c r="G24" s="66" t="n"/>
      <c r="H24" s="66" t="n"/>
      <c r="I24" s="67" t="n"/>
      <c r="J24" s="67">
        <f>IF(B24="","",SUMIFS(F$5:F$34,B$5:B$34,B24))</f>
        <v/>
      </c>
      <c r="K24" s="65">
        <f>IF(OR(B24="",J24=""),"",IF(J24&gt;1.001,"Overloaded",IF(J24&gt;=0.8,"At Capacity","Available")))</f>
        <v/>
      </c>
      <c r="L24" s="70" t="n"/>
    </row>
    <row r="25" ht="28" customHeight="1">
      <c r="A25" s="65" t="n"/>
      <c r="B25" s="65" t="n"/>
      <c r="C25" s="65" t="n"/>
      <c r="D25" s="65" t="n"/>
      <c r="E25" s="65" t="n"/>
      <c r="F25" s="67" t="n"/>
      <c r="G25" s="66" t="n"/>
      <c r="H25" s="66" t="n"/>
      <c r="I25" s="67" t="n"/>
      <c r="J25" s="67">
        <f>IF(B25="","",SUMIFS(F$5:F$34,B$5:B$34,B25))</f>
        <v/>
      </c>
      <c r="K25" s="65">
        <f>IF(OR(B25="",J25=""),"",IF(J25&gt;1.001,"Overloaded",IF(J25&gt;=0.8,"At Capacity","Available")))</f>
        <v/>
      </c>
      <c r="L25" s="70" t="n"/>
    </row>
    <row r="26" ht="28" customHeight="1">
      <c r="A26" s="65" t="n"/>
      <c r="B26" s="65" t="n"/>
      <c r="C26" s="65" t="n"/>
      <c r="D26" s="65" t="n"/>
      <c r="E26" s="65" t="n"/>
      <c r="F26" s="67" t="n"/>
      <c r="G26" s="66" t="n"/>
      <c r="H26" s="66" t="n"/>
      <c r="I26" s="67" t="n"/>
      <c r="J26" s="67">
        <f>IF(B26="","",SUMIFS(F$5:F$34,B$5:B$34,B26))</f>
        <v/>
      </c>
      <c r="K26" s="65">
        <f>IF(OR(B26="",J26=""),"",IF(J26&gt;1.001,"Overloaded",IF(J26&gt;=0.8,"At Capacity","Available")))</f>
        <v/>
      </c>
      <c r="L26" s="70" t="n"/>
    </row>
    <row r="27" ht="28" customHeight="1">
      <c r="A27" s="65" t="n"/>
      <c r="B27" s="65" t="n"/>
      <c r="C27" s="65" t="n"/>
      <c r="D27" s="65" t="n"/>
      <c r="E27" s="65" t="n"/>
      <c r="F27" s="67" t="n"/>
      <c r="G27" s="66" t="n"/>
      <c r="H27" s="66" t="n"/>
      <c r="I27" s="67" t="n"/>
      <c r="J27" s="67">
        <f>IF(B27="","",SUMIFS(F$5:F$34,B$5:B$34,B27))</f>
        <v/>
      </c>
      <c r="K27" s="65">
        <f>IF(OR(B27="",J27=""),"",IF(J27&gt;1.001,"Overloaded",IF(J27&gt;=0.8,"At Capacity","Available")))</f>
        <v/>
      </c>
      <c r="L27" s="70" t="n"/>
    </row>
    <row r="28" ht="28" customHeight="1">
      <c r="A28" s="65" t="n"/>
      <c r="B28" s="65" t="n"/>
      <c r="C28" s="65" t="n"/>
      <c r="D28" s="65" t="n"/>
      <c r="E28" s="65" t="n"/>
      <c r="F28" s="67" t="n"/>
      <c r="G28" s="66" t="n"/>
      <c r="H28" s="66" t="n"/>
      <c r="I28" s="67" t="n"/>
      <c r="J28" s="67">
        <f>IF(B28="","",SUMIFS(F$5:F$34,B$5:B$34,B28))</f>
        <v/>
      </c>
      <c r="K28" s="65">
        <f>IF(OR(B28="",J28=""),"",IF(J28&gt;1.001,"Overloaded",IF(J28&gt;=0.8,"At Capacity","Available")))</f>
        <v/>
      </c>
      <c r="L28" s="70" t="n"/>
    </row>
    <row r="29" ht="28" customHeight="1">
      <c r="A29" s="65" t="n"/>
      <c r="B29" s="65" t="n"/>
      <c r="C29" s="65" t="n"/>
      <c r="D29" s="65" t="n"/>
      <c r="E29" s="65" t="n"/>
      <c r="F29" s="67" t="n"/>
      <c r="G29" s="66" t="n"/>
      <c r="H29" s="66" t="n"/>
      <c r="I29" s="67" t="n"/>
      <c r="J29" s="67">
        <f>IF(B29="","",SUMIFS(F$5:F$34,B$5:B$34,B29))</f>
        <v/>
      </c>
      <c r="K29" s="65">
        <f>IF(OR(B29="",J29=""),"",IF(J29&gt;1.001,"Overloaded",IF(J29&gt;=0.8,"At Capacity","Available")))</f>
        <v/>
      </c>
      <c r="L29" s="70" t="n"/>
    </row>
    <row r="30" ht="28" customHeight="1">
      <c r="A30" s="65" t="n"/>
      <c r="B30" s="65" t="n"/>
      <c r="C30" s="65" t="n"/>
      <c r="D30" s="65" t="n"/>
      <c r="E30" s="65" t="n"/>
      <c r="F30" s="67" t="n"/>
      <c r="G30" s="66" t="n"/>
      <c r="H30" s="66" t="n"/>
      <c r="I30" s="67" t="n"/>
      <c r="J30" s="67">
        <f>IF(B30="","",SUMIFS(F$5:F$34,B$5:B$34,B30))</f>
        <v/>
      </c>
      <c r="K30" s="65">
        <f>IF(OR(B30="",J30=""),"",IF(J30&gt;1.001,"Overloaded",IF(J30&gt;=0.8,"At Capacity","Available")))</f>
        <v/>
      </c>
      <c r="L30" s="70" t="n"/>
    </row>
    <row r="31" ht="28" customHeight="1">
      <c r="A31" s="65" t="n"/>
      <c r="B31" s="65" t="n"/>
      <c r="C31" s="65" t="n"/>
      <c r="D31" s="65" t="n"/>
      <c r="E31" s="65" t="n"/>
      <c r="F31" s="67" t="n"/>
      <c r="G31" s="66" t="n"/>
      <c r="H31" s="66" t="n"/>
      <c r="I31" s="67" t="n"/>
      <c r="J31" s="67">
        <f>IF(B31="","",SUMIFS(F$5:F$34,B$5:B$34,B31))</f>
        <v/>
      </c>
      <c r="K31" s="65">
        <f>IF(OR(B31="",J31=""),"",IF(J31&gt;1.001,"Overloaded",IF(J31&gt;=0.8,"At Capacity","Available")))</f>
        <v/>
      </c>
      <c r="L31" s="70" t="n"/>
    </row>
    <row r="32" ht="28" customHeight="1">
      <c r="A32" s="65" t="n"/>
      <c r="B32" s="65" t="n"/>
      <c r="C32" s="65" t="n"/>
      <c r="D32" s="65" t="n"/>
      <c r="E32" s="65" t="n"/>
      <c r="F32" s="67" t="n"/>
      <c r="G32" s="66" t="n"/>
      <c r="H32" s="66" t="n"/>
      <c r="I32" s="67" t="n"/>
      <c r="J32" s="67">
        <f>IF(B32="","",SUMIFS(F$5:F$34,B$5:B$34,B32))</f>
        <v/>
      </c>
      <c r="K32" s="65">
        <f>IF(OR(B32="",J32=""),"",IF(J32&gt;1.001,"Overloaded",IF(J32&gt;=0.8,"At Capacity","Available")))</f>
        <v/>
      </c>
      <c r="L32" s="70" t="n"/>
    </row>
    <row r="33" ht="28" customHeight="1">
      <c r="A33" s="65" t="n"/>
      <c r="B33" s="65" t="n"/>
      <c r="C33" s="65" t="n"/>
      <c r="D33" s="65" t="n"/>
      <c r="E33" s="65" t="n"/>
      <c r="F33" s="67" t="n"/>
      <c r="G33" s="66" t="n"/>
      <c r="H33" s="66" t="n"/>
      <c r="I33" s="67" t="n"/>
      <c r="J33" s="67">
        <f>IF(B33="","",SUMIFS(F$5:F$34,B$5:B$34,B33))</f>
        <v/>
      </c>
      <c r="K33" s="65">
        <f>IF(OR(B33="",J33=""),"",IF(J33&gt;1.001,"Overloaded",IF(J33&gt;=0.8,"At Capacity","Available")))</f>
        <v/>
      </c>
      <c r="L33" s="70" t="n"/>
    </row>
    <row r="34" ht="28" customHeight="1">
      <c r="A34" s="65" t="n"/>
      <c r="B34" s="65" t="n"/>
      <c r="C34" s="65" t="n"/>
      <c r="D34" s="65" t="n"/>
      <c r="E34" s="65" t="n"/>
      <c r="F34" s="67" t="n"/>
      <c r="G34" s="66" t="n"/>
      <c r="H34" s="66" t="n"/>
      <c r="I34" s="67" t="n"/>
      <c r="J34" s="67">
        <f>IF(B34="","",SUMIFS(F$5:F$34,B$5:B$34,B34))</f>
        <v/>
      </c>
      <c r="K34" s="65">
        <f>IF(OR(B34="",J34=""),"",IF(J34&gt;1.001,"Overloaded",IF(J34&gt;=0.8,"At Capacity","Available")))</f>
        <v/>
      </c>
      <c r="L34" s="70" t="n"/>
    </row>
  </sheetData>
  <mergeCells count="3">
    <mergeCell ref="A3:L3"/>
    <mergeCell ref="A2:L2"/>
    <mergeCell ref="A1:L1"/>
  </mergeCells>
  <conditionalFormatting sqref="K5:K34">
    <cfRule type="expression" priority="1" dxfId="5" stopIfTrue="1">
      <formula>EXACT($K5,"Overloaded")</formula>
    </cfRule>
    <cfRule type="expression" priority="2" dxfId="4" stopIfTrue="1">
      <formula>EXACT($K5,"At Capacity")</formula>
    </cfRule>
    <cfRule type="expression" priority="3" dxfId="3" stopIfTrue="1">
      <formula>EXACT($K5,"Available")</formula>
    </cfRule>
  </conditionalFormatting>
  <conditionalFormatting sqref="J5:J34">
    <cfRule type="expression" priority="4" dxfId="5" stopIfTrue="0">
      <formula>AND(ISNUMBER($J5),$J5&gt;1)</formula>
    </cfRule>
    <cfRule type="expression" priority="5" dxfId="4" stopIfTrue="0">
      <formula>AND(ISNUMBER($J5),$J5&gt;=0.8,$J5&lt;=1)</formula>
    </cfRule>
    <cfRule type="expression" priority="6" dxfId="3" stopIfTrue="0">
      <formula>AND(ISNUMBER($J5),$J5&lt;0.8)</formula>
    </cfRule>
  </conditionalFormatting>
  <conditionalFormatting sqref="F5:F34">
    <cfRule type="expression" priority="7" dxfId="5" stopIfTrue="0">
      <formula>AND(ISNUMBER($F5),$F5&gt;1)</formula>
    </cfRule>
  </conditionalFormatting>
  <conditionalFormatting sqref="A5:A34">
    <cfRule type="expression" priority="8" dxfId="5" stopIfTrue="0">
      <formula>AND($A5&lt;&gt;"",COUNTIF($A$5:$A$34,$A5)&gt;1)</formula>
    </cfRule>
  </conditionalFormatting>
  <conditionalFormatting sqref="B5:B34">
    <cfRule type="expression" priority="9" dxfId="4" stopIfTrue="0">
      <formula>AND($A5&lt;&gt;"",B5="")</formula>
    </cfRule>
  </conditionalFormatting>
  <dataValidations count="2">
    <dataValidation sqref="C5:C34" showDropDown="0" showInputMessage="1" showErrorMessage="1" allowBlank="1" errorTitle="Value not allowed" error="Pick a value from the drop-down list (L_Dept)." promptTitle="Select" prompt="Choose a value from the drop-down list." type="list" errorStyle="stop">
      <formula1>L_Dept</formula1>
    </dataValidation>
    <dataValidation sqref="E5:E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P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  <col width="16" customWidth="1" min="4" max="4"/>
    <col width="16" customWidth="1" min="5" max="5"/>
    <col width="13" customWidth="1" min="6" max="6"/>
    <col width="12" customWidth="1" min="7" max="7"/>
    <col width="17" customWidth="1" min="8" max="8"/>
    <col width="14" customWidth="1" min="9" max="9"/>
    <col width="14" customWidth="1" min="10" max="10"/>
    <col width="12" customWidth="1" min="11" max="11"/>
    <col width="15" customWidth="1" min="12" max="12"/>
    <col width="14" customWidth="1" min="13" max="13"/>
    <col width="14" customWidth="1" min="14" max="14"/>
    <col width="13" customWidth="1" min="15" max="15"/>
    <col width="24" customWidth="1" min="16" max="16"/>
  </cols>
  <sheetData>
    <row r="1" ht="32" customHeight="1">
      <c r="A1" s="1" t="inlineStr">
        <is>
          <t>PROCUREMENT TRACKER</t>
        </is>
      </c>
    </row>
    <row r="2" ht="17" customHeight="1">
      <c r="A2" s="2" t="inlineStr">
        <is>
          <t>Purchase requests through quotation, approval, order and delivery, with the variance between approved amount and approved cost.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Request ID</t>
        </is>
      </c>
      <c r="B4" s="64" t="inlineStr">
        <is>
          <t>Project</t>
        </is>
      </c>
      <c r="C4" s="64" t="inlineStr">
        <is>
          <t>Item</t>
        </is>
      </c>
      <c r="D4" s="64" t="inlineStr">
        <is>
          <t>Requester</t>
        </is>
      </c>
      <c r="E4" s="64" t="inlineStr">
        <is>
          <t>Supplier</t>
        </is>
      </c>
      <c r="F4" s="64" t="inlineStr">
        <is>
          <t>Quotation</t>
        </is>
      </c>
      <c r="G4" s="64" t="inlineStr">
        <is>
          <t>PO No.</t>
        </is>
      </c>
      <c r="H4" s="64" t="inlineStr">
        <is>
          <t>Total Approved Amount</t>
        </is>
      </c>
      <c r="I4" s="64" t="inlineStr">
        <is>
          <t>Quoted Cost</t>
        </is>
      </c>
      <c r="J4" s="64" t="inlineStr">
        <is>
          <t>Approved Cost</t>
        </is>
      </c>
      <c r="K4" s="64" t="inlineStr">
        <is>
          <t>Order Date</t>
        </is>
      </c>
      <c r="L4" s="64" t="inlineStr">
        <is>
          <t>Expected Delivery</t>
        </is>
      </c>
      <c r="M4" s="64" t="inlineStr">
        <is>
          <t>Actual Delivery</t>
        </is>
      </c>
      <c r="N4" s="64" t="inlineStr">
        <is>
          <t>Status</t>
        </is>
      </c>
      <c r="O4" s="64" t="inlineStr">
        <is>
          <t>Variance</t>
        </is>
      </c>
      <c r="P4" s="64" t="inlineStr">
        <is>
          <t>Notes</t>
        </is>
      </c>
    </row>
    <row r="5" ht="28" customHeight="1">
      <c r="A5" s="65" t="inlineStr">
        <is>
          <t>PR-001</t>
        </is>
      </c>
      <c r="B5" s="65" t="inlineStr">
        <is>
          <t>ERP Implementation</t>
        </is>
      </c>
      <c r="C5" s="65" t="inlineStr">
        <is>
          <t>Application server</t>
        </is>
      </c>
      <c r="D5" s="65" t="inlineStr">
        <is>
          <t>Tom Becker</t>
        </is>
      </c>
      <c r="E5" s="65" t="inlineStr">
        <is>
          <t>Vendor A</t>
        </is>
      </c>
      <c r="F5" s="65" t="inlineStr">
        <is>
          <t>Q-4410</t>
        </is>
      </c>
      <c r="G5" s="65" t="inlineStr">
        <is>
          <t>PO-001</t>
        </is>
      </c>
      <c r="H5" s="68" t="n">
        <v>250000</v>
      </c>
      <c r="I5" s="68" t="n">
        <v>245000</v>
      </c>
      <c r="J5" s="68" t="n">
        <v>245000</v>
      </c>
      <c r="K5" s="66" t="n">
        <v>46285</v>
      </c>
      <c r="L5" s="66" t="n">
        <v>46315</v>
      </c>
      <c r="M5" s="66" t="n">
        <v>46301</v>
      </c>
      <c r="N5" s="65" t="inlineStr">
        <is>
          <t>Delivered</t>
        </is>
      </c>
      <c r="O5" s="68">
        <f>IF(OR(H5="",J5=""),"",H5-J5)</f>
        <v/>
      </c>
      <c r="P5" s="70" t="inlineStr">
        <is>
          <t>SAMPLE</t>
        </is>
      </c>
    </row>
    <row r="6" ht="28" customHeight="1">
      <c r="A6" s="65" t="inlineStr">
        <is>
          <t>PR-002</t>
        </is>
      </c>
      <c r="B6" s="65" t="inlineStr">
        <is>
          <t>Network Infrastructure Upgrade</t>
        </is>
      </c>
      <c r="C6" s="65" t="inlineStr">
        <is>
          <t>Managed switches (10)</t>
        </is>
      </c>
      <c r="D6" s="65" t="inlineStr">
        <is>
          <t>Lisa Chen</t>
        </is>
      </c>
      <c r="E6" s="65" t="inlineStr">
        <is>
          <t>Vendor B</t>
        </is>
      </c>
      <c r="F6" s="65" t="inlineStr">
        <is>
          <t>Q-4415</t>
        </is>
      </c>
      <c r="G6" s="65" t="inlineStr">
        <is>
          <t>PO-002</t>
        </is>
      </c>
      <c r="H6" s="68" t="n">
        <v>220000</v>
      </c>
      <c r="I6" s="68" t="n">
        <v>218000</v>
      </c>
      <c r="J6" s="68" t="n">
        <v>218000</v>
      </c>
      <c r="K6" s="66" t="n">
        <v>46290</v>
      </c>
      <c r="L6" s="66" t="n">
        <v>46313</v>
      </c>
      <c r="M6" s="66" t="n"/>
      <c r="N6" s="65" t="inlineStr">
        <is>
          <t>Ordered</t>
        </is>
      </c>
      <c r="O6" s="68">
        <f>IF(OR(H6="",J6=""),"",H6-J6)</f>
        <v/>
      </c>
      <c r="P6" s="70" t="inlineStr">
        <is>
          <t>SAMPLE</t>
        </is>
      </c>
    </row>
    <row r="7" ht="28" customHeight="1">
      <c r="A7" s="65" t="inlineStr">
        <is>
          <t>PR-003</t>
        </is>
      </c>
      <c r="B7" s="65" t="inlineStr">
        <is>
          <t>Network Infrastructure Upgrade</t>
        </is>
      </c>
      <c r="C7" s="65" t="inlineStr">
        <is>
          <t>Cabling and connectors</t>
        </is>
      </c>
      <c r="D7" s="65" t="inlineStr">
        <is>
          <t>Lisa Chen</t>
        </is>
      </c>
      <c r="E7" s="65" t="inlineStr">
        <is>
          <t>Vendor C</t>
        </is>
      </c>
      <c r="F7" s="65" t="inlineStr">
        <is>
          <t>Q-4422</t>
        </is>
      </c>
      <c r="G7" s="65" t="inlineStr"/>
      <c r="H7" s="68" t="n">
        <v>60000</v>
      </c>
      <c r="I7" s="68" t="n">
        <v>58000</v>
      </c>
      <c r="J7" s="68" t="n">
        <v>0</v>
      </c>
      <c r="K7" s="66" t="n"/>
      <c r="L7" s="66" t="n">
        <v>46325</v>
      </c>
      <c r="M7" s="66" t="n"/>
      <c r="N7" s="65" t="inlineStr">
        <is>
          <t>Approval</t>
        </is>
      </c>
      <c r="O7" s="68">
        <f>IF(OR(H7="",J7=""),"",H7-J7)</f>
        <v/>
      </c>
      <c r="P7" s="70" t="inlineStr">
        <is>
          <t>SAMPLE</t>
        </is>
      </c>
    </row>
    <row r="8" ht="28" customHeight="1">
      <c r="A8" s="65" t="inlineStr">
        <is>
          <t>PR-004</t>
        </is>
      </c>
      <c r="B8" s="65" t="inlineStr">
        <is>
          <t>HR Management System</t>
        </is>
      </c>
      <c r="C8" s="65" t="inlineStr">
        <is>
          <t>HR system licences</t>
        </is>
      </c>
      <c r="D8" s="65" t="inlineStr">
        <is>
          <t>David Okoro</t>
        </is>
      </c>
      <c r="E8" s="65" t="inlineStr">
        <is>
          <t>Vendor D</t>
        </is>
      </c>
      <c r="F8" s="65" t="inlineStr">
        <is>
          <t>Q-4431</t>
        </is>
      </c>
      <c r="G8" s="65" t="inlineStr"/>
      <c r="H8" s="68" t="n">
        <v>300000</v>
      </c>
      <c r="I8" s="68" t="n">
        <v>0</v>
      </c>
      <c r="J8" s="68" t="n">
        <v>0</v>
      </c>
      <c r="K8" s="66" t="n"/>
      <c r="L8" s="66" t="n">
        <v>46341</v>
      </c>
      <c r="M8" s="66" t="n"/>
      <c r="N8" s="65" t="inlineStr">
        <is>
          <t>Quotation</t>
        </is>
      </c>
      <c r="O8" s="68">
        <f>IF(OR(H8="",J8=""),"",H8-J8)</f>
        <v/>
      </c>
      <c r="P8" s="70" t="inlineStr">
        <is>
          <t>SAMPLE</t>
        </is>
      </c>
    </row>
    <row r="9" ht="28" customHeight="1">
      <c r="A9" s="65" t="inlineStr">
        <is>
          <t>PR-005</t>
        </is>
      </c>
      <c r="B9" s="65" t="inlineStr">
        <is>
          <t>Office Security Upgrade</t>
        </is>
      </c>
      <c r="C9" s="65" t="inlineStr">
        <is>
          <t>CCTV cameras (8)</t>
        </is>
      </c>
      <c r="D9" s="65" t="inlineStr">
        <is>
          <t>Tom Becker</t>
        </is>
      </c>
      <c r="E9" s="65" t="inlineStr">
        <is>
          <t>Vendor E</t>
        </is>
      </c>
      <c r="F9" s="65" t="inlineStr">
        <is>
          <t>Q-4436</t>
        </is>
      </c>
      <c r="G9" s="65" t="inlineStr">
        <is>
          <t>PO-003</t>
        </is>
      </c>
      <c r="H9" s="68" t="n">
        <v>35000</v>
      </c>
      <c r="I9" s="68" t="n">
        <v>34000</v>
      </c>
      <c r="J9" s="68" t="n">
        <v>34000</v>
      </c>
      <c r="K9" s="66" t="n">
        <v>46298</v>
      </c>
      <c r="L9" s="66" t="n">
        <v>46323</v>
      </c>
      <c r="M9" s="66" t="n"/>
      <c r="N9" s="65" t="inlineStr">
        <is>
          <t>Ordered</t>
        </is>
      </c>
      <c r="O9" s="68">
        <f>IF(OR(H9="",J9=""),"",H9-J9)</f>
        <v/>
      </c>
      <c r="P9" s="70" t="inlineStr">
        <is>
          <t>SAMPLE</t>
        </is>
      </c>
    </row>
    <row r="10" ht="28" customHeight="1">
      <c r="A10" s="65" t="inlineStr">
        <is>
          <t>PR-006</t>
        </is>
      </c>
      <c r="B10" s="65" t="inlineStr">
        <is>
          <t>ERP Implementation</t>
        </is>
      </c>
      <c r="C10" s="65" t="inlineStr">
        <is>
          <t>Training licences</t>
        </is>
      </c>
      <c r="D10" s="65" t="inlineStr">
        <is>
          <t>Maria Silva</t>
        </is>
      </c>
      <c r="E10" s="65" t="inlineStr">
        <is>
          <t>Vendor A</t>
        </is>
      </c>
      <c r="F10" s="65" t="inlineStr">
        <is>
          <t>Q-4440</t>
        </is>
      </c>
      <c r="G10" s="65" t="inlineStr"/>
      <c r="H10" s="68" t="n">
        <v>50000</v>
      </c>
      <c r="I10" s="68" t="n">
        <v>48000</v>
      </c>
      <c r="J10" s="68" t="n">
        <v>0</v>
      </c>
      <c r="K10" s="66" t="n"/>
      <c r="L10" s="66" t="n">
        <v>46336</v>
      </c>
      <c r="M10" s="66" t="n"/>
      <c r="N10" s="65" t="inlineStr">
        <is>
          <t>Requested</t>
        </is>
      </c>
      <c r="O10" s="68">
        <f>IF(OR(H10="",J10=""),"",H10-J10)</f>
        <v/>
      </c>
      <c r="P10" s="70" t="inlineStr">
        <is>
          <t>SAMPLE</t>
        </is>
      </c>
    </row>
    <row r="11" ht="28" customHeight="1">
      <c r="A11" s="65" t="inlineStr">
        <is>
          <t>PR-007</t>
        </is>
      </c>
      <c r="B11" s="65" t="inlineStr">
        <is>
          <t>Website Development</t>
        </is>
      </c>
      <c r="C11" s="65" t="inlineStr">
        <is>
          <t>Hosting package</t>
        </is>
      </c>
      <c r="D11" s="65" t="inlineStr">
        <is>
          <t>Maria Silva</t>
        </is>
      </c>
      <c r="E11" s="65" t="inlineStr">
        <is>
          <t>Vendor F</t>
        </is>
      </c>
      <c r="F11" s="65" t="inlineStr">
        <is>
          <t>Q-4445</t>
        </is>
      </c>
      <c r="G11" s="65" t="inlineStr">
        <is>
          <t>PO-004</t>
        </is>
      </c>
      <c r="H11" s="68" t="n">
        <v>30000</v>
      </c>
      <c r="I11" s="68" t="n">
        <v>30000</v>
      </c>
      <c r="J11" s="68" t="n">
        <v>30000</v>
      </c>
      <c r="K11" s="66" t="n">
        <v>46295</v>
      </c>
      <c r="L11" s="66" t="n">
        <v>46305</v>
      </c>
      <c r="M11" s="66" t="n">
        <v>46299</v>
      </c>
      <c r="N11" s="65" t="inlineStr">
        <is>
          <t>Delivered</t>
        </is>
      </c>
      <c r="O11" s="68">
        <f>IF(OR(H11="",J11=""),"",H11-J11)</f>
        <v/>
      </c>
      <c r="P11" s="70" t="inlineStr">
        <is>
          <t>SAMPLE</t>
        </is>
      </c>
    </row>
    <row r="12" ht="28" customHeight="1">
      <c r="A12" s="65" t="n"/>
      <c r="B12" s="65" t="n"/>
      <c r="C12" s="65" t="n"/>
      <c r="D12" s="65" t="n"/>
      <c r="E12" s="65" t="n"/>
      <c r="F12" s="65" t="n"/>
      <c r="G12" s="65" t="n"/>
      <c r="H12" s="68" t="n"/>
      <c r="I12" s="68" t="n"/>
      <c r="J12" s="68" t="n"/>
      <c r="K12" s="66" t="n"/>
      <c r="L12" s="66" t="n"/>
      <c r="M12" s="66" t="n"/>
      <c r="N12" s="65" t="n"/>
      <c r="O12" s="68">
        <f>IF(OR(H12="",J12=""),"",H12-J12)</f>
        <v/>
      </c>
      <c r="P12" s="70" t="n"/>
    </row>
    <row r="13" ht="28" customHeight="1">
      <c r="A13" s="65" t="n"/>
      <c r="B13" s="65" t="n"/>
      <c r="C13" s="65" t="n"/>
      <c r="D13" s="65" t="n"/>
      <c r="E13" s="65" t="n"/>
      <c r="F13" s="65" t="n"/>
      <c r="G13" s="65" t="n"/>
      <c r="H13" s="68" t="n"/>
      <c r="I13" s="68" t="n"/>
      <c r="J13" s="68" t="n"/>
      <c r="K13" s="66" t="n"/>
      <c r="L13" s="66" t="n"/>
      <c r="M13" s="66" t="n"/>
      <c r="N13" s="65" t="n"/>
      <c r="O13" s="68">
        <f>IF(OR(H13="",J13=""),"",H13-J13)</f>
        <v/>
      </c>
      <c r="P13" s="70" t="n"/>
    </row>
    <row r="14" ht="28" customHeight="1">
      <c r="A14" s="65" t="n"/>
      <c r="B14" s="65" t="n"/>
      <c r="C14" s="65" t="n"/>
      <c r="D14" s="65" t="n"/>
      <c r="E14" s="65" t="n"/>
      <c r="F14" s="65" t="n"/>
      <c r="G14" s="65" t="n"/>
      <c r="H14" s="68" t="n"/>
      <c r="I14" s="68" t="n"/>
      <c r="J14" s="68" t="n"/>
      <c r="K14" s="66" t="n"/>
      <c r="L14" s="66" t="n"/>
      <c r="M14" s="66" t="n"/>
      <c r="N14" s="65" t="n"/>
      <c r="O14" s="68">
        <f>IF(OR(H14="",J14=""),"",H14-J14)</f>
        <v/>
      </c>
      <c r="P14" s="70" t="n"/>
    </row>
    <row r="15" ht="28" customHeight="1">
      <c r="A15" s="65" t="n"/>
      <c r="B15" s="65" t="n"/>
      <c r="C15" s="65" t="n"/>
      <c r="D15" s="65" t="n"/>
      <c r="E15" s="65" t="n"/>
      <c r="F15" s="65" t="n"/>
      <c r="G15" s="65" t="n"/>
      <c r="H15" s="68" t="n"/>
      <c r="I15" s="68" t="n"/>
      <c r="J15" s="68" t="n"/>
      <c r="K15" s="66" t="n"/>
      <c r="L15" s="66" t="n"/>
      <c r="M15" s="66" t="n"/>
      <c r="N15" s="65" t="n"/>
      <c r="O15" s="68">
        <f>IF(OR(H15="",J15=""),"",H15-J15)</f>
        <v/>
      </c>
      <c r="P15" s="70" t="n"/>
    </row>
    <row r="16" ht="28" customHeight="1">
      <c r="A16" s="65" t="n"/>
      <c r="B16" s="65" t="n"/>
      <c r="C16" s="65" t="n"/>
      <c r="D16" s="65" t="n"/>
      <c r="E16" s="65" t="n"/>
      <c r="F16" s="65" t="n"/>
      <c r="G16" s="65" t="n"/>
      <c r="H16" s="68" t="n"/>
      <c r="I16" s="68" t="n"/>
      <c r="J16" s="68" t="n"/>
      <c r="K16" s="66" t="n"/>
      <c r="L16" s="66" t="n"/>
      <c r="M16" s="66" t="n"/>
      <c r="N16" s="65" t="n"/>
      <c r="O16" s="68">
        <f>IF(OR(H16="",J16=""),"",H16-J16)</f>
        <v/>
      </c>
      <c r="P16" s="70" t="n"/>
    </row>
    <row r="17" ht="28" customHeight="1">
      <c r="A17" s="65" t="n"/>
      <c r="B17" s="65" t="n"/>
      <c r="C17" s="65" t="n"/>
      <c r="D17" s="65" t="n"/>
      <c r="E17" s="65" t="n"/>
      <c r="F17" s="65" t="n"/>
      <c r="G17" s="65" t="n"/>
      <c r="H17" s="68" t="n"/>
      <c r="I17" s="68" t="n"/>
      <c r="J17" s="68" t="n"/>
      <c r="K17" s="66" t="n"/>
      <c r="L17" s="66" t="n"/>
      <c r="M17" s="66" t="n"/>
      <c r="N17" s="65" t="n"/>
      <c r="O17" s="68">
        <f>IF(OR(H17="",J17=""),"",H17-J17)</f>
        <v/>
      </c>
      <c r="P17" s="70" t="n"/>
    </row>
    <row r="18" ht="28" customHeight="1">
      <c r="A18" s="65" t="n"/>
      <c r="B18" s="65" t="n"/>
      <c r="C18" s="65" t="n"/>
      <c r="D18" s="65" t="n"/>
      <c r="E18" s="65" t="n"/>
      <c r="F18" s="65" t="n"/>
      <c r="G18" s="65" t="n"/>
      <c r="H18" s="68" t="n"/>
      <c r="I18" s="68" t="n"/>
      <c r="J18" s="68" t="n"/>
      <c r="K18" s="66" t="n"/>
      <c r="L18" s="66" t="n"/>
      <c r="M18" s="66" t="n"/>
      <c r="N18" s="65" t="n"/>
      <c r="O18" s="68">
        <f>IF(OR(H18="",J18=""),"",H18-J18)</f>
        <v/>
      </c>
      <c r="P18" s="70" t="n"/>
    </row>
    <row r="19" ht="28" customHeight="1">
      <c r="A19" s="65" t="n"/>
      <c r="B19" s="65" t="n"/>
      <c r="C19" s="65" t="n"/>
      <c r="D19" s="65" t="n"/>
      <c r="E19" s="65" t="n"/>
      <c r="F19" s="65" t="n"/>
      <c r="G19" s="65" t="n"/>
      <c r="H19" s="68" t="n"/>
      <c r="I19" s="68" t="n"/>
      <c r="J19" s="68" t="n"/>
      <c r="K19" s="66" t="n"/>
      <c r="L19" s="66" t="n"/>
      <c r="M19" s="66" t="n"/>
      <c r="N19" s="65" t="n"/>
      <c r="O19" s="68">
        <f>IF(OR(H19="",J19=""),"",H19-J19)</f>
        <v/>
      </c>
      <c r="P19" s="70" t="n"/>
    </row>
    <row r="20" ht="28" customHeight="1">
      <c r="A20" s="65" t="n"/>
      <c r="B20" s="65" t="n"/>
      <c r="C20" s="65" t="n"/>
      <c r="D20" s="65" t="n"/>
      <c r="E20" s="65" t="n"/>
      <c r="F20" s="65" t="n"/>
      <c r="G20" s="65" t="n"/>
      <c r="H20" s="68" t="n"/>
      <c r="I20" s="68" t="n"/>
      <c r="J20" s="68" t="n"/>
      <c r="K20" s="66" t="n"/>
      <c r="L20" s="66" t="n"/>
      <c r="M20" s="66" t="n"/>
      <c r="N20" s="65" t="n"/>
      <c r="O20" s="68">
        <f>IF(OR(H20="",J20=""),"",H20-J20)</f>
        <v/>
      </c>
      <c r="P20" s="70" t="n"/>
    </row>
    <row r="21" ht="28" customHeight="1">
      <c r="A21" s="65" t="n"/>
      <c r="B21" s="65" t="n"/>
      <c r="C21" s="65" t="n"/>
      <c r="D21" s="65" t="n"/>
      <c r="E21" s="65" t="n"/>
      <c r="F21" s="65" t="n"/>
      <c r="G21" s="65" t="n"/>
      <c r="H21" s="68" t="n"/>
      <c r="I21" s="68" t="n"/>
      <c r="J21" s="68" t="n"/>
      <c r="K21" s="66" t="n"/>
      <c r="L21" s="66" t="n"/>
      <c r="M21" s="66" t="n"/>
      <c r="N21" s="65" t="n"/>
      <c r="O21" s="68">
        <f>IF(OR(H21="",J21=""),"",H21-J21)</f>
        <v/>
      </c>
      <c r="P21" s="70" t="n"/>
    </row>
    <row r="22" ht="28" customHeight="1">
      <c r="A22" s="65" t="n"/>
      <c r="B22" s="65" t="n"/>
      <c r="C22" s="65" t="n"/>
      <c r="D22" s="65" t="n"/>
      <c r="E22" s="65" t="n"/>
      <c r="F22" s="65" t="n"/>
      <c r="G22" s="65" t="n"/>
      <c r="H22" s="68" t="n"/>
      <c r="I22" s="68" t="n"/>
      <c r="J22" s="68" t="n"/>
      <c r="K22" s="66" t="n"/>
      <c r="L22" s="66" t="n"/>
      <c r="M22" s="66" t="n"/>
      <c r="N22" s="65" t="n"/>
      <c r="O22" s="68">
        <f>IF(OR(H22="",J22=""),"",H22-J22)</f>
        <v/>
      </c>
      <c r="P22" s="70" t="n"/>
    </row>
    <row r="23" ht="28" customHeight="1">
      <c r="A23" s="65" t="n"/>
      <c r="B23" s="65" t="n"/>
      <c r="C23" s="65" t="n"/>
      <c r="D23" s="65" t="n"/>
      <c r="E23" s="65" t="n"/>
      <c r="F23" s="65" t="n"/>
      <c r="G23" s="65" t="n"/>
      <c r="H23" s="68" t="n"/>
      <c r="I23" s="68" t="n"/>
      <c r="J23" s="68" t="n"/>
      <c r="K23" s="66" t="n"/>
      <c r="L23" s="66" t="n"/>
      <c r="M23" s="66" t="n"/>
      <c r="N23" s="65" t="n"/>
      <c r="O23" s="68">
        <f>IF(OR(H23="",J23=""),"",H23-J23)</f>
        <v/>
      </c>
      <c r="P23" s="70" t="n"/>
    </row>
    <row r="24" ht="28" customHeight="1">
      <c r="A24" s="65" t="n"/>
      <c r="B24" s="65" t="n"/>
      <c r="C24" s="65" t="n"/>
      <c r="D24" s="65" t="n"/>
      <c r="E24" s="65" t="n"/>
      <c r="F24" s="65" t="n"/>
      <c r="G24" s="65" t="n"/>
      <c r="H24" s="68" t="n"/>
      <c r="I24" s="68" t="n"/>
      <c r="J24" s="68" t="n"/>
      <c r="K24" s="66" t="n"/>
      <c r="L24" s="66" t="n"/>
      <c r="M24" s="66" t="n"/>
      <c r="N24" s="65" t="n"/>
      <c r="O24" s="68">
        <f>IF(OR(H24="",J24=""),"",H24-J24)</f>
        <v/>
      </c>
      <c r="P24" s="70" t="n"/>
    </row>
    <row r="25" ht="28" customHeight="1">
      <c r="A25" s="65" t="n"/>
      <c r="B25" s="65" t="n"/>
      <c r="C25" s="65" t="n"/>
      <c r="D25" s="65" t="n"/>
      <c r="E25" s="65" t="n"/>
      <c r="F25" s="65" t="n"/>
      <c r="G25" s="65" t="n"/>
      <c r="H25" s="68" t="n"/>
      <c r="I25" s="68" t="n"/>
      <c r="J25" s="68" t="n"/>
      <c r="K25" s="66" t="n"/>
      <c r="L25" s="66" t="n"/>
      <c r="M25" s="66" t="n"/>
      <c r="N25" s="65" t="n"/>
      <c r="O25" s="68">
        <f>IF(OR(H25="",J25=""),"",H25-J25)</f>
        <v/>
      </c>
      <c r="P25" s="70" t="n"/>
    </row>
    <row r="26" ht="28" customHeight="1">
      <c r="A26" s="65" t="n"/>
      <c r="B26" s="65" t="n"/>
      <c r="C26" s="65" t="n"/>
      <c r="D26" s="65" t="n"/>
      <c r="E26" s="65" t="n"/>
      <c r="F26" s="65" t="n"/>
      <c r="G26" s="65" t="n"/>
      <c r="H26" s="68" t="n"/>
      <c r="I26" s="68" t="n"/>
      <c r="J26" s="68" t="n"/>
      <c r="K26" s="66" t="n"/>
      <c r="L26" s="66" t="n"/>
      <c r="M26" s="66" t="n"/>
      <c r="N26" s="65" t="n"/>
      <c r="O26" s="68">
        <f>IF(OR(H26="",J26=""),"",H26-J26)</f>
        <v/>
      </c>
      <c r="P26" s="70" t="n"/>
    </row>
    <row r="27" ht="28" customHeight="1">
      <c r="A27" s="65" t="n"/>
      <c r="B27" s="65" t="n"/>
      <c r="C27" s="65" t="n"/>
      <c r="D27" s="65" t="n"/>
      <c r="E27" s="65" t="n"/>
      <c r="F27" s="65" t="n"/>
      <c r="G27" s="65" t="n"/>
      <c r="H27" s="68" t="n"/>
      <c r="I27" s="68" t="n"/>
      <c r="J27" s="68" t="n"/>
      <c r="K27" s="66" t="n"/>
      <c r="L27" s="66" t="n"/>
      <c r="M27" s="66" t="n"/>
      <c r="N27" s="65" t="n"/>
      <c r="O27" s="68">
        <f>IF(OR(H27="",J27=""),"",H27-J27)</f>
        <v/>
      </c>
      <c r="P27" s="70" t="n"/>
    </row>
    <row r="28" ht="28" customHeight="1">
      <c r="A28" s="65" t="n"/>
      <c r="B28" s="65" t="n"/>
      <c r="C28" s="65" t="n"/>
      <c r="D28" s="65" t="n"/>
      <c r="E28" s="65" t="n"/>
      <c r="F28" s="65" t="n"/>
      <c r="G28" s="65" t="n"/>
      <c r="H28" s="68" t="n"/>
      <c r="I28" s="68" t="n"/>
      <c r="J28" s="68" t="n"/>
      <c r="K28" s="66" t="n"/>
      <c r="L28" s="66" t="n"/>
      <c r="M28" s="66" t="n"/>
      <c r="N28" s="65" t="n"/>
      <c r="O28" s="68">
        <f>IF(OR(H28="",J28=""),"",H28-J28)</f>
        <v/>
      </c>
      <c r="P28" s="70" t="n"/>
    </row>
    <row r="29" ht="28" customHeight="1">
      <c r="A29" s="65" t="n"/>
      <c r="B29" s="65" t="n"/>
      <c r="C29" s="65" t="n"/>
      <c r="D29" s="65" t="n"/>
      <c r="E29" s="65" t="n"/>
      <c r="F29" s="65" t="n"/>
      <c r="G29" s="65" t="n"/>
      <c r="H29" s="68" t="n"/>
      <c r="I29" s="68" t="n"/>
      <c r="J29" s="68" t="n"/>
      <c r="K29" s="66" t="n"/>
      <c r="L29" s="66" t="n"/>
      <c r="M29" s="66" t="n"/>
      <c r="N29" s="65" t="n"/>
      <c r="O29" s="68">
        <f>IF(OR(H29="",J29=""),"",H29-J29)</f>
        <v/>
      </c>
      <c r="P29" s="70" t="n"/>
    </row>
    <row r="30" ht="28" customHeight="1">
      <c r="A30" s="65" t="n"/>
      <c r="B30" s="65" t="n"/>
      <c r="C30" s="65" t="n"/>
      <c r="D30" s="65" t="n"/>
      <c r="E30" s="65" t="n"/>
      <c r="F30" s="65" t="n"/>
      <c r="G30" s="65" t="n"/>
      <c r="H30" s="68" t="n"/>
      <c r="I30" s="68" t="n"/>
      <c r="J30" s="68" t="n"/>
      <c r="K30" s="66" t="n"/>
      <c r="L30" s="66" t="n"/>
      <c r="M30" s="66" t="n"/>
      <c r="N30" s="65" t="n"/>
      <c r="O30" s="68">
        <f>IF(OR(H30="",J30=""),"",H30-J30)</f>
        <v/>
      </c>
      <c r="P30" s="70" t="n"/>
    </row>
    <row r="31" ht="28" customHeight="1">
      <c r="A31" s="65" t="n"/>
      <c r="B31" s="65" t="n"/>
      <c r="C31" s="65" t="n"/>
      <c r="D31" s="65" t="n"/>
      <c r="E31" s="65" t="n"/>
      <c r="F31" s="65" t="n"/>
      <c r="G31" s="65" t="n"/>
      <c r="H31" s="68" t="n"/>
      <c r="I31" s="68" t="n"/>
      <c r="J31" s="68" t="n"/>
      <c r="K31" s="66" t="n"/>
      <c r="L31" s="66" t="n"/>
      <c r="M31" s="66" t="n"/>
      <c r="N31" s="65" t="n"/>
      <c r="O31" s="68">
        <f>IF(OR(H31="",J31=""),"",H31-J31)</f>
        <v/>
      </c>
      <c r="P31" s="70" t="n"/>
    </row>
    <row r="32" ht="28" customHeight="1">
      <c r="A32" s="65" t="n"/>
      <c r="B32" s="65" t="n"/>
      <c r="C32" s="65" t="n"/>
      <c r="D32" s="65" t="n"/>
      <c r="E32" s="65" t="n"/>
      <c r="F32" s="65" t="n"/>
      <c r="G32" s="65" t="n"/>
      <c r="H32" s="68" t="n"/>
      <c r="I32" s="68" t="n"/>
      <c r="J32" s="68" t="n"/>
      <c r="K32" s="66" t="n"/>
      <c r="L32" s="66" t="n"/>
      <c r="M32" s="66" t="n"/>
      <c r="N32" s="65" t="n"/>
      <c r="O32" s="68">
        <f>IF(OR(H32="",J32=""),"",H32-J32)</f>
        <v/>
      </c>
      <c r="P32" s="70" t="n"/>
    </row>
    <row r="33" ht="28" customHeight="1">
      <c r="A33" s="65" t="n"/>
      <c r="B33" s="65" t="n"/>
      <c r="C33" s="65" t="n"/>
      <c r="D33" s="65" t="n"/>
      <c r="E33" s="65" t="n"/>
      <c r="F33" s="65" t="n"/>
      <c r="G33" s="65" t="n"/>
      <c r="H33" s="68" t="n"/>
      <c r="I33" s="68" t="n"/>
      <c r="J33" s="68" t="n"/>
      <c r="K33" s="66" t="n"/>
      <c r="L33" s="66" t="n"/>
      <c r="M33" s="66" t="n"/>
      <c r="N33" s="65" t="n"/>
      <c r="O33" s="68">
        <f>IF(OR(H33="",J33=""),"",H33-J33)</f>
        <v/>
      </c>
      <c r="P33" s="70" t="n"/>
    </row>
    <row r="34" ht="28" customHeight="1">
      <c r="A34" s="65" t="n"/>
      <c r="B34" s="65" t="n"/>
      <c r="C34" s="65" t="n"/>
      <c r="D34" s="65" t="n"/>
      <c r="E34" s="65" t="n"/>
      <c r="F34" s="65" t="n"/>
      <c r="G34" s="65" t="n"/>
      <c r="H34" s="68" t="n"/>
      <c r="I34" s="68" t="n"/>
      <c r="J34" s="68" t="n"/>
      <c r="K34" s="66" t="n"/>
      <c r="L34" s="66" t="n"/>
      <c r="M34" s="66" t="n"/>
      <c r="N34" s="65" t="n"/>
      <c r="O34" s="68">
        <f>IF(OR(H34="",J34=""),"",H34-J34)</f>
        <v/>
      </c>
      <c r="P34" s="70" t="n"/>
    </row>
  </sheetData>
  <mergeCells count="3">
    <mergeCell ref="A1:P1"/>
    <mergeCell ref="A3:P3"/>
    <mergeCell ref="A2:P2"/>
  </mergeCells>
  <conditionalFormatting sqref="N5:N34">
    <cfRule type="expression" priority="1" dxfId="8" stopIfTrue="1">
      <formula>EXACT($N5,"Requested")</formula>
    </cfRule>
    <cfRule type="expression" priority="2" dxfId="8" stopIfTrue="1">
      <formula>EXACT($N5,"Quotation")</formula>
    </cfRule>
    <cfRule type="expression" priority="3" dxfId="4" stopIfTrue="1">
      <formula>EXACT($N5,"Approval")</formula>
    </cfRule>
    <cfRule type="expression" priority="4" dxfId="4" stopIfTrue="1">
      <formula>EXACT($N5,"Ordered")</formula>
    </cfRule>
    <cfRule type="expression" priority="5" dxfId="3" stopIfTrue="1">
      <formula>EXACT($N5,"Delivered")</formula>
    </cfRule>
    <cfRule type="expression" priority="6" dxfId="5" stopIfTrue="1">
      <formula>EXACT($N5,"Cancelled")</formula>
    </cfRule>
  </conditionalFormatting>
  <conditionalFormatting sqref="L5:L34">
    <cfRule type="expression" priority="7" dxfId="5" stopIfTrue="0">
      <formula>AND($A5&lt;&gt;"",$L5&lt;&gt;"",$L5&lt;TODAY(),$M5="",$N5&lt;&gt;"Cancelled")</formula>
    </cfRule>
  </conditionalFormatting>
  <conditionalFormatting sqref="A5:A34">
    <cfRule type="expression" priority="8" dxfId="5" stopIfTrue="0">
      <formula>AND($A5&lt;&gt;"",COUNTIF($A$5:$A$34,$A5)&gt;1)</formula>
    </cfRule>
  </conditionalFormatting>
  <conditionalFormatting sqref="D5:D34">
    <cfRule type="expression" priority="9" dxfId="4" stopIfTrue="0">
      <formula>AND($A5&lt;&gt;"",D5="")</formula>
    </cfRule>
  </conditionalFormatting>
  <dataValidations count="3">
    <dataValidation sqref="B5:B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D5:D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N5:N34" showDropDown="0" showInputMessage="1" showErrorMessage="1" allowBlank="1" errorTitle="Value not allowed" error="Pick a value from the drop-down list (L_ProcStatus)." promptTitle="Select" prompt="Choose a value from the drop-down list." type="list" errorStyle="stop">
      <formula1>L_ProcStatus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M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34" customWidth="1" min="4" max="4"/>
    <col width="16" customWidth="1" min="5" max="5"/>
    <col width="13" customWidth="1" min="6" max="6"/>
    <col width="13" customWidth="1" min="7" max="7"/>
    <col width="12" customWidth="1" min="8" max="8"/>
    <col width="10" customWidth="1" min="9" max="9"/>
    <col width="28" customWidth="1" min="10" max="10"/>
    <col width="14" customWidth="1" min="11" max="11"/>
    <col width="20" customWidth="1" min="12" max="12"/>
    <col width="24" customWidth="1" min="13" max="13"/>
  </cols>
  <sheetData>
    <row r="1" ht="32" customHeight="1">
      <c r="A1" s="1" t="inlineStr">
        <is>
          <t>QUALITY CONTROL</t>
        </is>
      </c>
    </row>
    <row r="2" ht="17" customHeight="1">
      <c r="A2" s="2" t="inlineStr">
        <is>
          <t>Quality checks for each deliverable with result, defects and corrective action. The KPI block below reports pass rate and open corrective actions.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QC ID</t>
        </is>
      </c>
      <c r="B4" s="64" t="inlineStr">
        <is>
          <t>Project</t>
        </is>
      </c>
      <c r="C4" s="64" t="inlineStr">
        <is>
          <t>Deliverable</t>
        </is>
      </c>
      <c r="D4" s="64" t="inlineStr">
        <is>
          <t>Quality Criteria</t>
        </is>
      </c>
      <c r="E4" s="64" t="inlineStr">
        <is>
          <t>Owner</t>
        </is>
      </c>
      <c r="F4" s="64" t="inlineStr">
        <is>
          <t>Planned Date</t>
        </is>
      </c>
      <c r="G4" s="64" t="inlineStr">
        <is>
          <t>Actual Date</t>
        </is>
      </c>
      <c r="H4" s="64" t="inlineStr">
        <is>
          <t>Result</t>
        </is>
      </c>
      <c r="I4" s="64" t="inlineStr">
        <is>
          <t>Defects</t>
        </is>
      </c>
      <c r="J4" s="64" t="inlineStr">
        <is>
          <t>Corrective Action</t>
        </is>
      </c>
      <c r="K4" s="64" t="inlineStr">
        <is>
          <t>Status</t>
        </is>
      </c>
      <c r="L4" s="64" t="inlineStr">
        <is>
          <t>Evidence</t>
        </is>
      </c>
      <c r="M4" s="64" t="inlineStr">
        <is>
          <t>Notes</t>
        </is>
      </c>
    </row>
    <row r="5" ht="28" customHeight="1">
      <c r="A5" s="65" t="inlineStr">
        <is>
          <t>QC-001</t>
        </is>
      </c>
      <c r="B5" s="65" t="inlineStr">
        <is>
          <t>ERP Implementation</t>
        </is>
      </c>
      <c r="C5" s="65" t="inlineStr">
        <is>
          <t>Requirements</t>
        </is>
      </c>
      <c r="D5" s="70" t="inlineStr">
        <is>
          <t>All requirements traceable and signed off</t>
        </is>
      </c>
      <c r="E5" s="65" t="inlineStr">
        <is>
          <t>Priya Raman</t>
        </is>
      </c>
      <c r="F5" s="66" t="n">
        <v>46241</v>
      </c>
      <c r="G5" s="66" t="n">
        <v>46241</v>
      </c>
      <c r="H5" s="65" t="inlineStr">
        <is>
          <t>Pass</t>
        </is>
      </c>
      <c r="I5" s="69" t="n">
        <v>0</v>
      </c>
      <c r="J5" s="70" t="inlineStr"/>
      <c r="K5" s="65" t="inlineStr">
        <is>
          <t>Complete</t>
        </is>
      </c>
      <c r="L5" s="65" t="inlineStr">
        <is>
          <t>Sign-off document</t>
        </is>
      </c>
      <c r="M5" s="70" t="inlineStr">
        <is>
          <t>SAMPLE</t>
        </is>
      </c>
    </row>
    <row r="6" ht="28" customHeight="1">
      <c r="A6" s="65" t="inlineStr">
        <is>
          <t>QC-002</t>
        </is>
      </c>
      <c r="B6" s="65" t="inlineStr">
        <is>
          <t>ERP Implementation</t>
        </is>
      </c>
      <c r="C6" s="65" t="inlineStr">
        <is>
          <t>Configuration</t>
        </is>
      </c>
      <c r="D6" s="70" t="inlineStr">
        <is>
          <t>Configuration reviewed against design</t>
        </is>
      </c>
      <c r="E6" s="65" t="inlineStr">
        <is>
          <t>Grace Alemu</t>
        </is>
      </c>
      <c r="F6" s="66" t="n">
        <v>46304</v>
      </c>
      <c r="G6" s="66" t="n"/>
      <c r="H6" s="65" t="inlineStr">
        <is>
          <t>Pending</t>
        </is>
      </c>
      <c r="I6" s="69" t="n">
        <v>0</v>
      </c>
      <c r="J6" s="70" t="inlineStr"/>
      <c r="K6" s="65" t="inlineStr">
        <is>
          <t>In Progress</t>
        </is>
      </c>
      <c r="L6" s="65" t="inlineStr"/>
      <c r="M6" s="70" t="inlineStr">
        <is>
          <t>SAMPLE</t>
        </is>
      </c>
    </row>
    <row r="7" ht="28" customHeight="1">
      <c r="A7" s="65" t="inlineStr">
        <is>
          <t>QC-003</t>
        </is>
      </c>
      <c r="B7" s="65" t="inlineStr">
        <is>
          <t>ERP Implementation</t>
        </is>
      </c>
      <c r="C7" s="65" t="inlineStr">
        <is>
          <t>Data migration</t>
        </is>
      </c>
      <c r="D7" s="70" t="inlineStr">
        <is>
          <t>Mock migration error rate below 1%</t>
        </is>
      </c>
      <c r="E7" s="65" t="inlineStr">
        <is>
          <t>David Okoro</t>
        </is>
      </c>
      <c r="F7" s="66" t="n">
        <v>46325</v>
      </c>
      <c r="G7" s="66" t="n"/>
      <c r="H7" s="65" t="inlineStr">
        <is>
          <t>Pending</t>
        </is>
      </c>
      <c r="I7" s="69" t="n">
        <v>0</v>
      </c>
      <c r="J7" s="70" t="inlineStr">
        <is>
          <t>Re-run cleansing script</t>
        </is>
      </c>
      <c r="K7" s="65" t="inlineStr">
        <is>
          <t>In Progress</t>
        </is>
      </c>
      <c r="L7" s="65" t="inlineStr"/>
      <c r="M7" s="70" t="inlineStr">
        <is>
          <t>SAMPLE</t>
        </is>
      </c>
    </row>
    <row r="8" ht="28" customHeight="1">
      <c r="A8" s="65" t="inlineStr">
        <is>
          <t>QC-004</t>
        </is>
      </c>
      <c r="B8" s="65" t="inlineStr">
        <is>
          <t>Network Infrastructure Upgrade</t>
        </is>
      </c>
      <c r="C8" s="65" t="inlineStr">
        <is>
          <t>Installation</t>
        </is>
      </c>
      <c r="D8" s="70" t="inlineStr">
        <is>
          <t>Cable certification test passed</t>
        </is>
      </c>
      <c r="E8" s="65" t="inlineStr">
        <is>
          <t>Tom Becker</t>
        </is>
      </c>
      <c r="F8" s="66" t="n">
        <v>46319</v>
      </c>
      <c r="G8" s="66" t="n"/>
      <c r="H8" s="65" t="inlineStr">
        <is>
          <t>Pending</t>
        </is>
      </c>
      <c r="I8" s="69" t="n">
        <v>0</v>
      </c>
      <c r="J8" s="70" t="inlineStr"/>
      <c r="K8" s="65" t="inlineStr">
        <is>
          <t>In Progress</t>
        </is>
      </c>
      <c r="L8" s="65" t="inlineStr"/>
      <c r="M8" s="70" t="inlineStr">
        <is>
          <t>SAMPLE</t>
        </is>
      </c>
    </row>
    <row r="9" ht="28" customHeight="1">
      <c r="A9" s="65" t="inlineStr">
        <is>
          <t>QC-005</t>
        </is>
      </c>
      <c r="B9" s="65" t="inlineStr">
        <is>
          <t>Network Infrastructure Upgrade</t>
        </is>
      </c>
      <c r="C9" s="65" t="inlineStr">
        <is>
          <t>Design</t>
        </is>
      </c>
      <c r="D9" s="70" t="inlineStr">
        <is>
          <t>Site survey signed off by IT</t>
        </is>
      </c>
      <c r="E9" s="65" t="inlineStr">
        <is>
          <t>Lisa Chen</t>
        </is>
      </c>
      <c r="F9" s="66" t="n">
        <v>46262</v>
      </c>
      <c r="G9" s="66" t="n">
        <v>46262</v>
      </c>
      <c r="H9" s="65" t="inlineStr">
        <is>
          <t>Pass</t>
        </is>
      </c>
      <c r="I9" s="69" t="n">
        <v>0</v>
      </c>
      <c r="J9" s="70" t="inlineStr"/>
      <c r="K9" s="65" t="inlineStr">
        <is>
          <t>Complete</t>
        </is>
      </c>
      <c r="L9" s="65" t="inlineStr">
        <is>
          <t>Survey report</t>
        </is>
      </c>
      <c r="M9" s="70" t="inlineStr">
        <is>
          <t>SAMPLE</t>
        </is>
      </c>
    </row>
    <row r="10" ht="28" customHeight="1">
      <c r="A10" s="65" t="inlineStr">
        <is>
          <t>QC-006</t>
        </is>
      </c>
      <c r="B10" s="65" t="inlineStr">
        <is>
          <t>Website Development</t>
        </is>
      </c>
      <c r="C10" s="65" t="inlineStr">
        <is>
          <t>Design</t>
        </is>
      </c>
      <c r="D10" s="70" t="inlineStr">
        <is>
          <t>Brand and accessibility review</t>
        </is>
      </c>
      <c r="E10" s="65" t="inlineStr">
        <is>
          <t>Maria Silva</t>
        </is>
      </c>
      <c r="F10" s="66" t="n">
        <v>46316</v>
      </c>
      <c r="G10" s="66" t="n"/>
      <c r="H10" s="65" t="inlineStr">
        <is>
          <t>Pending</t>
        </is>
      </c>
      <c r="I10" s="69" t="n">
        <v>0</v>
      </c>
      <c r="J10" s="70" t="inlineStr"/>
      <c r="K10" s="65" t="inlineStr">
        <is>
          <t>In Progress</t>
        </is>
      </c>
      <c r="L10" s="65" t="inlineStr"/>
      <c r="M10" s="70" t="inlineStr">
        <is>
          <t>SAMPLE</t>
        </is>
      </c>
    </row>
    <row r="11" ht="28" customHeight="1">
      <c r="A11" s="65" t="inlineStr">
        <is>
          <t>QC-007</t>
        </is>
      </c>
      <c r="B11" s="65" t="inlineStr">
        <is>
          <t>HR Management System</t>
        </is>
      </c>
      <c r="C11" s="65" t="inlineStr">
        <is>
          <t>Requirements</t>
        </is>
      </c>
      <c r="D11" s="70" t="inlineStr">
        <is>
          <t>HR process workshops completed</t>
        </is>
      </c>
      <c r="E11" s="65" t="inlineStr">
        <is>
          <t>David Okoro</t>
        </is>
      </c>
      <c r="F11" s="66" t="n">
        <v>46325</v>
      </c>
      <c r="G11" s="66" t="n"/>
      <c r="H11" s="65" t="inlineStr">
        <is>
          <t>Fail</t>
        </is>
      </c>
      <c r="I11" s="69" t="n">
        <v>4</v>
      </c>
      <c r="J11" s="70" t="inlineStr">
        <is>
          <t>Re-run two workshops with payroll team</t>
        </is>
      </c>
      <c r="K11" s="65" t="inlineStr">
        <is>
          <t>In Progress</t>
        </is>
      </c>
      <c r="L11" s="65" t="inlineStr">
        <is>
          <t>Workshop notes</t>
        </is>
      </c>
      <c r="M11" s="70" t="inlineStr">
        <is>
          <t>SAMPLE</t>
        </is>
      </c>
    </row>
    <row r="12" ht="28" customHeight="1">
      <c r="A12" s="65" t="inlineStr">
        <is>
          <t>QC-008</t>
        </is>
      </c>
      <c r="B12" s="65" t="inlineStr">
        <is>
          <t>Payroll Reporting Portal</t>
        </is>
      </c>
      <c r="C12" s="65" t="inlineStr">
        <is>
          <t>Go-live</t>
        </is>
      </c>
      <c r="D12" s="70" t="inlineStr">
        <is>
          <t>Rollback plan tested</t>
        </is>
      </c>
      <c r="E12" s="65" t="inlineStr">
        <is>
          <t>Priya Raman</t>
        </is>
      </c>
      <c r="F12" s="66" t="n">
        <v>46291</v>
      </c>
      <c r="G12" s="66" t="n">
        <v>46291</v>
      </c>
      <c r="H12" s="65" t="inlineStr">
        <is>
          <t>Pass</t>
        </is>
      </c>
      <c r="I12" s="69" t="n">
        <v>0</v>
      </c>
      <c r="J12" s="70" t="inlineStr"/>
      <c r="K12" s="65" t="inlineStr">
        <is>
          <t>Complete</t>
        </is>
      </c>
      <c r="L12" s="65" t="inlineStr">
        <is>
          <t>Test log</t>
        </is>
      </c>
      <c r="M12" s="70" t="inlineStr">
        <is>
          <t>SAMPLE</t>
        </is>
      </c>
    </row>
    <row r="13" ht="28" customHeight="1">
      <c r="A13" s="65" t="inlineStr">
        <is>
          <t>QC-009</t>
        </is>
      </c>
      <c r="B13" s="65" t="inlineStr">
        <is>
          <t>Office Security Upgrade</t>
        </is>
      </c>
      <c r="C13" s="65" t="inlineStr">
        <is>
          <t>Assessment</t>
        </is>
      </c>
      <c r="D13" s="70" t="inlineStr">
        <is>
          <t>Security assessment report accepted</t>
        </is>
      </c>
      <c r="E13" s="65" t="inlineStr">
        <is>
          <t>Tom Becker</t>
        </is>
      </c>
      <c r="F13" s="66" t="n">
        <v>46309</v>
      </c>
      <c r="G13" s="66" t="n"/>
      <c r="H13" s="65" t="inlineStr">
        <is>
          <t>Pending</t>
        </is>
      </c>
      <c r="I13" s="69" t="n">
        <v>0</v>
      </c>
      <c r="J13" s="70" t="inlineStr"/>
      <c r="K13" s="65" t="inlineStr">
        <is>
          <t>Not Started</t>
        </is>
      </c>
      <c r="L13" s="65" t="inlineStr"/>
      <c r="M13" s="70" t="inlineStr">
        <is>
          <t>SAMPLE</t>
        </is>
      </c>
    </row>
    <row r="14" ht="28" customHeight="1">
      <c r="A14" s="65" t="n"/>
      <c r="B14" s="65" t="n"/>
      <c r="C14" s="65" t="n"/>
      <c r="D14" s="70" t="n"/>
      <c r="E14" s="65" t="n"/>
      <c r="F14" s="66" t="n"/>
      <c r="G14" s="66" t="n"/>
      <c r="H14" s="65" t="n"/>
      <c r="I14" s="69" t="n"/>
      <c r="J14" s="70" t="n"/>
      <c r="K14" s="65" t="n"/>
      <c r="L14" s="65" t="n"/>
      <c r="M14" s="70" t="n"/>
    </row>
    <row r="15" ht="28" customHeight="1">
      <c r="A15" s="65" t="n"/>
      <c r="B15" s="65" t="n"/>
      <c r="C15" s="65" t="n"/>
      <c r="D15" s="70" t="n"/>
      <c r="E15" s="65" t="n"/>
      <c r="F15" s="66" t="n"/>
      <c r="G15" s="66" t="n"/>
      <c r="H15" s="65" t="n"/>
      <c r="I15" s="69" t="n"/>
      <c r="J15" s="70" t="n"/>
      <c r="K15" s="65" t="n"/>
      <c r="L15" s="65" t="n"/>
      <c r="M15" s="70" t="n"/>
    </row>
    <row r="16" ht="28" customHeight="1">
      <c r="A16" s="65" t="n"/>
      <c r="B16" s="65" t="n"/>
      <c r="C16" s="65" t="n"/>
      <c r="D16" s="70" t="n"/>
      <c r="E16" s="65" t="n"/>
      <c r="F16" s="66" t="n"/>
      <c r="G16" s="66" t="n"/>
      <c r="H16" s="65" t="n"/>
      <c r="I16" s="69" t="n"/>
      <c r="J16" s="70" t="n"/>
      <c r="K16" s="65" t="n"/>
      <c r="L16" s="65" t="n"/>
      <c r="M16" s="70" t="n"/>
    </row>
    <row r="17" ht="28" customHeight="1">
      <c r="A17" s="65" t="n"/>
      <c r="B17" s="65" t="n"/>
      <c r="C17" s="65" t="n"/>
      <c r="D17" s="70" t="n"/>
      <c r="E17" s="65" t="n"/>
      <c r="F17" s="66" t="n"/>
      <c r="G17" s="66" t="n"/>
      <c r="H17" s="65" t="n"/>
      <c r="I17" s="69" t="n"/>
      <c r="J17" s="70" t="n"/>
      <c r="K17" s="65" t="n"/>
      <c r="L17" s="65" t="n"/>
      <c r="M17" s="70" t="n"/>
    </row>
    <row r="18" ht="28" customHeight="1">
      <c r="A18" s="65" t="n"/>
      <c r="B18" s="65" t="n"/>
      <c r="C18" s="65" t="n"/>
      <c r="D18" s="70" t="n"/>
      <c r="E18" s="65" t="n"/>
      <c r="F18" s="66" t="n"/>
      <c r="G18" s="66" t="n"/>
      <c r="H18" s="65" t="n"/>
      <c r="I18" s="69" t="n"/>
      <c r="J18" s="70" t="n"/>
      <c r="K18" s="65" t="n"/>
      <c r="L18" s="65" t="n"/>
      <c r="M18" s="70" t="n"/>
    </row>
    <row r="19" ht="28" customHeight="1">
      <c r="A19" s="65" t="n"/>
      <c r="B19" s="65" t="n"/>
      <c r="C19" s="65" t="n"/>
      <c r="D19" s="70" t="n"/>
      <c r="E19" s="65" t="n"/>
      <c r="F19" s="66" t="n"/>
      <c r="G19" s="66" t="n"/>
      <c r="H19" s="65" t="n"/>
      <c r="I19" s="69" t="n"/>
      <c r="J19" s="70" t="n"/>
      <c r="K19" s="65" t="n"/>
      <c r="L19" s="65" t="n"/>
      <c r="M19" s="70" t="n"/>
    </row>
    <row r="20" ht="28" customHeight="1">
      <c r="A20" s="65" t="n"/>
      <c r="B20" s="65" t="n"/>
      <c r="C20" s="65" t="n"/>
      <c r="D20" s="70" t="n"/>
      <c r="E20" s="65" t="n"/>
      <c r="F20" s="66" t="n"/>
      <c r="G20" s="66" t="n"/>
      <c r="H20" s="65" t="n"/>
      <c r="I20" s="69" t="n"/>
      <c r="J20" s="70" t="n"/>
      <c r="K20" s="65" t="n"/>
      <c r="L20" s="65" t="n"/>
      <c r="M20" s="70" t="n"/>
    </row>
    <row r="21" ht="28" customHeight="1">
      <c r="A21" s="65" t="n"/>
      <c r="B21" s="65" t="n"/>
      <c r="C21" s="65" t="n"/>
      <c r="D21" s="70" t="n"/>
      <c r="E21" s="65" t="n"/>
      <c r="F21" s="66" t="n"/>
      <c r="G21" s="66" t="n"/>
      <c r="H21" s="65" t="n"/>
      <c r="I21" s="69" t="n"/>
      <c r="J21" s="70" t="n"/>
      <c r="K21" s="65" t="n"/>
      <c r="L21" s="65" t="n"/>
      <c r="M21" s="70" t="n"/>
    </row>
    <row r="22" ht="28" customHeight="1">
      <c r="A22" s="65" t="n"/>
      <c r="B22" s="65" t="n"/>
      <c r="C22" s="65" t="n"/>
      <c r="D22" s="70" t="n"/>
      <c r="E22" s="65" t="n"/>
      <c r="F22" s="66" t="n"/>
      <c r="G22" s="66" t="n"/>
      <c r="H22" s="65" t="n"/>
      <c r="I22" s="69" t="n"/>
      <c r="J22" s="70" t="n"/>
      <c r="K22" s="65" t="n"/>
      <c r="L22" s="65" t="n"/>
      <c r="M22" s="70" t="n"/>
    </row>
    <row r="23" ht="28" customHeight="1">
      <c r="A23" s="65" t="n"/>
      <c r="B23" s="65" t="n"/>
      <c r="C23" s="65" t="n"/>
      <c r="D23" s="70" t="n"/>
      <c r="E23" s="65" t="n"/>
      <c r="F23" s="66" t="n"/>
      <c r="G23" s="66" t="n"/>
      <c r="H23" s="65" t="n"/>
      <c r="I23" s="69" t="n"/>
      <c r="J23" s="70" t="n"/>
      <c r="K23" s="65" t="n"/>
      <c r="L23" s="65" t="n"/>
      <c r="M23" s="70" t="n"/>
    </row>
    <row r="24" ht="28" customHeight="1">
      <c r="A24" s="65" t="n"/>
      <c r="B24" s="65" t="n"/>
      <c r="C24" s="65" t="n"/>
      <c r="D24" s="70" t="n"/>
      <c r="E24" s="65" t="n"/>
      <c r="F24" s="66" t="n"/>
      <c r="G24" s="66" t="n"/>
      <c r="H24" s="65" t="n"/>
      <c r="I24" s="69" t="n"/>
      <c r="J24" s="70" t="n"/>
      <c r="K24" s="65" t="n"/>
      <c r="L24" s="65" t="n"/>
      <c r="M24" s="70" t="n"/>
    </row>
    <row r="25" ht="28" customHeight="1">
      <c r="A25" s="65" t="n"/>
      <c r="B25" s="65" t="n"/>
      <c r="C25" s="65" t="n"/>
      <c r="D25" s="70" t="n"/>
      <c r="E25" s="65" t="n"/>
      <c r="F25" s="66" t="n"/>
      <c r="G25" s="66" t="n"/>
      <c r="H25" s="65" t="n"/>
      <c r="I25" s="69" t="n"/>
      <c r="J25" s="70" t="n"/>
      <c r="K25" s="65" t="n"/>
      <c r="L25" s="65" t="n"/>
      <c r="M25" s="70" t="n"/>
    </row>
    <row r="26" ht="28" customHeight="1">
      <c r="A26" s="65" t="n"/>
      <c r="B26" s="65" t="n"/>
      <c r="C26" s="65" t="n"/>
      <c r="D26" s="70" t="n"/>
      <c r="E26" s="65" t="n"/>
      <c r="F26" s="66" t="n"/>
      <c r="G26" s="66" t="n"/>
      <c r="H26" s="65" t="n"/>
      <c r="I26" s="69" t="n"/>
      <c r="J26" s="70" t="n"/>
      <c r="K26" s="65" t="n"/>
      <c r="L26" s="65" t="n"/>
      <c r="M26" s="70" t="n"/>
    </row>
    <row r="27" ht="28" customHeight="1">
      <c r="A27" s="65" t="n"/>
      <c r="B27" s="65" t="n"/>
      <c r="C27" s="65" t="n"/>
      <c r="D27" s="70" t="n"/>
      <c r="E27" s="65" t="n"/>
      <c r="F27" s="66" t="n"/>
      <c r="G27" s="66" t="n"/>
      <c r="H27" s="65" t="n"/>
      <c r="I27" s="69" t="n"/>
      <c r="J27" s="70" t="n"/>
      <c r="K27" s="65" t="n"/>
      <c r="L27" s="65" t="n"/>
      <c r="M27" s="70" t="n"/>
    </row>
    <row r="28" ht="28" customHeight="1">
      <c r="A28" s="65" t="n"/>
      <c r="B28" s="65" t="n"/>
      <c r="C28" s="65" t="n"/>
      <c r="D28" s="70" t="n"/>
      <c r="E28" s="65" t="n"/>
      <c r="F28" s="66" t="n"/>
      <c r="G28" s="66" t="n"/>
      <c r="H28" s="65" t="n"/>
      <c r="I28" s="69" t="n"/>
      <c r="J28" s="70" t="n"/>
      <c r="K28" s="65" t="n"/>
      <c r="L28" s="65" t="n"/>
      <c r="M28" s="70" t="n"/>
    </row>
    <row r="29" ht="28" customHeight="1">
      <c r="A29" s="65" t="n"/>
      <c r="B29" s="65" t="n"/>
      <c r="C29" s="65" t="n"/>
      <c r="D29" s="70" t="n"/>
      <c r="E29" s="65" t="n"/>
      <c r="F29" s="66" t="n"/>
      <c r="G29" s="66" t="n"/>
      <c r="H29" s="65" t="n"/>
      <c r="I29" s="69" t="n"/>
      <c r="J29" s="70" t="n"/>
      <c r="K29" s="65" t="n"/>
      <c r="L29" s="65" t="n"/>
      <c r="M29" s="70" t="n"/>
    </row>
    <row r="30" ht="28" customHeight="1">
      <c r="A30" s="65" t="n"/>
      <c r="B30" s="65" t="n"/>
      <c r="C30" s="65" t="n"/>
      <c r="D30" s="70" t="n"/>
      <c r="E30" s="65" t="n"/>
      <c r="F30" s="66" t="n"/>
      <c r="G30" s="66" t="n"/>
      <c r="H30" s="65" t="n"/>
      <c r="I30" s="69" t="n"/>
      <c r="J30" s="70" t="n"/>
      <c r="K30" s="65" t="n"/>
      <c r="L30" s="65" t="n"/>
      <c r="M30" s="70" t="n"/>
    </row>
    <row r="31" ht="28" customHeight="1">
      <c r="A31" s="65" t="n"/>
      <c r="B31" s="65" t="n"/>
      <c r="C31" s="65" t="n"/>
      <c r="D31" s="70" t="n"/>
      <c r="E31" s="65" t="n"/>
      <c r="F31" s="66" t="n"/>
      <c r="G31" s="66" t="n"/>
      <c r="H31" s="65" t="n"/>
      <c r="I31" s="69" t="n"/>
      <c r="J31" s="70" t="n"/>
      <c r="K31" s="65" t="n"/>
      <c r="L31" s="65" t="n"/>
      <c r="M31" s="70" t="n"/>
    </row>
    <row r="32" ht="28" customHeight="1">
      <c r="A32" s="65" t="n"/>
      <c r="B32" s="65" t="n"/>
      <c r="C32" s="65" t="n"/>
      <c r="D32" s="70" t="n"/>
      <c r="E32" s="65" t="n"/>
      <c r="F32" s="66" t="n"/>
      <c r="G32" s="66" t="n"/>
      <c r="H32" s="65" t="n"/>
      <c r="I32" s="69" t="n"/>
      <c r="J32" s="70" t="n"/>
      <c r="K32" s="65" t="n"/>
      <c r="L32" s="65" t="n"/>
      <c r="M32" s="70" t="n"/>
    </row>
    <row r="33" ht="28" customHeight="1">
      <c r="A33" s="65" t="n"/>
      <c r="B33" s="65" t="n"/>
      <c r="C33" s="65" t="n"/>
      <c r="D33" s="70" t="n"/>
      <c r="E33" s="65" t="n"/>
      <c r="F33" s="66" t="n"/>
      <c r="G33" s="66" t="n"/>
      <c r="H33" s="65" t="n"/>
      <c r="I33" s="69" t="n"/>
      <c r="J33" s="70" t="n"/>
      <c r="K33" s="65" t="n"/>
      <c r="L33" s="65" t="n"/>
      <c r="M33" s="70" t="n"/>
    </row>
    <row r="34" ht="28" customHeight="1">
      <c r="A34" s="65" t="n"/>
      <c r="B34" s="65" t="n"/>
      <c r="C34" s="65" t="n"/>
      <c r="D34" s="70" t="n"/>
      <c r="E34" s="65" t="n"/>
      <c r="F34" s="66" t="n"/>
      <c r="G34" s="66" t="n"/>
      <c r="H34" s="65" t="n"/>
      <c r="I34" s="69" t="n"/>
      <c r="J34" s="70" t="n"/>
      <c r="K34" s="65" t="n"/>
      <c r="L34" s="65" t="n"/>
      <c r="M34" s="70" t="n"/>
    </row>
    <row r="36" ht="20" customHeight="1">
      <c r="A36" s="6" t="inlineStr">
        <is>
          <t>QUALITY SUMMARY - AUTOMATIC (ALL QUALITY CHECKS)</t>
        </is>
      </c>
    </row>
    <row r="37" ht="24" customHeight="1">
      <c r="A37" s="79" t="inlineStr">
        <is>
          <t>TOTAL CHECKS</t>
        </is>
      </c>
      <c r="B37" s="32" t="n"/>
      <c r="C37" s="79" t="inlineStr">
        <is>
          <t>PASSED</t>
        </is>
      </c>
      <c r="D37" s="32" t="n"/>
      <c r="E37" s="79" t="inlineStr">
        <is>
          <t>FAILED</t>
        </is>
      </c>
      <c r="F37" s="32" t="n"/>
      <c r="G37" s="79" t="inlineStr">
        <is>
          <t>PENDING</t>
        </is>
      </c>
      <c r="H37" s="32" t="n"/>
      <c r="I37" s="79" t="inlineStr">
        <is>
          <t>PASS RATE</t>
        </is>
      </c>
      <c r="J37" s="32" t="n"/>
      <c r="K37" s="79" t="inlineStr">
        <is>
          <t>TOTAL DEFECTS</t>
        </is>
      </c>
      <c r="L37" s="32" t="n"/>
      <c r="M37" s="32" t="n"/>
    </row>
    <row r="38" ht="30" customHeight="1">
      <c r="A38" s="91">
        <f>COUNTIF($A$5:$A$34,"?*")</f>
        <v/>
      </c>
      <c r="B38" s="12" t="n"/>
      <c r="C38" s="91">
        <f>COUNTIFS($H$5:$H$34,"Pass")</f>
        <v/>
      </c>
      <c r="D38" s="12" t="n"/>
      <c r="E38" s="91">
        <f>COUNTIFS($H$5:$H$34,"Fail")</f>
        <v/>
      </c>
      <c r="F38" s="12" t="n"/>
      <c r="G38" s="91">
        <f>COUNTIFS($H$5:$H$34,"Pending")</f>
        <v/>
      </c>
      <c r="H38" s="12" t="n"/>
      <c r="I38" s="89">
        <f>IFERROR(COUNTIFS($H$5:$H$34,"Pass")/COUNTIF($A$5:$A$34,"?*"),0)</f>
        <v/>
      </c>
      <c r="J38" s="12" t="n"/>
      <c r="K38" s="91">
        <f>SUM($I$5:$I$34)</f>
        <v/>
      </c>
      <c r="L38" s="12" t="n"/>
      <c r="M38" s="12" t="n"/>
    </row>
    <row r="39" ht="24" customHeight="1">
      <c r="A39" s="79" t="inlineStr">
        <is>
          <t>OPEN CORRECTIVE ACTIONS</t>
        </is>
      </c>
      <c r="B39" s="32" t="n"/>
      <c r="C39" s="32" t="n"/>
      <c r="D39" s="32" t="n"/>
      <c r="E39" s="79" t="inlineStr">
        <is>
          <t>CHECKS OVERDUE</t>
        </is>
      </c>
      <c r="F39" s="32" t="n"/>
      <c r="G39" s="32" t="n"/>
      <c r="H39" s="32" t="n"/>
      <c r="I39" s="79" t="inlineStr">
        <is>
          <t>QUALITY STATUS</t>
        </is>
      </c>
      <c r="J39" s="32" t="n"/>
      <c r="K39" s="32" t="n"/>
      <c r="L39" s="32" t="n"/>
      <c r="M39" s="32" t="n"/>
    </row>
    <row r="40" ht="30" customHeight="1">
      <c r="A40" s="91">
        <f>COUNTIFS($J$5:$J$34,"&lt;&gt;",$K$5:$K$34,"&lt;&gt;Complete")</f>
        <v/>
      </c>
      <c r="B40" s="12" t="n"/>
      <c r="C40" s="12" t="n"/>
      <c r="D40" s="12" t="n"/>
      <c r="E40" s="91">
        <f>COUNTIFS($F$5:$F$34,"&lt;"&amp;TODAY(),$F$5:$F$34,"&lt;&gt;",$G$5:$G$34,"",$H$5:$H$34,"")</f>
        <v/>
      </c>
      <c r="F40" s="12" t="n"/>
      <c r="G40" s="12" t="n"/>
      <c r="H40" s="12" t="n"/>
      <c r="I40" s="90">
        <f>IF($E$38&gt;0,"ATTENTION",IF($G$38&gt;0,"REVIEW","PASS"))</f>
        <v/>
      </c>
      <c r="J40" s="12" t="n"/>
      <c r="K40" s="12" t="n"/>
      <c r="L40" s="12" t="n"/>
      <c r="M40" s="12" t="n"/>
    </row>
    <row r="41" ht="16" customHeight="1">
      <c r="A41" s="3" t="inlineStr">
        <is>
          <t>Pass rate counts Pass against every recorded check.  A failed check always raises the status to ATTENTION until the corrective action is complete.</t>
        </is>
      </c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</row>
  </sheetData>
  <mergeCells count="23">
    <mergeCell ref="A40:D40"/>
    <mergeCell ref="E38:F38"/>
    <mergeCell ref="G38:H38"/>
    <mergeCell ref="A39:D39"/>
    <mergeCell ref="A37:B37"/>
    <mergeCell ref="G37:H37"/>
    <mergeCell ref="I37:J37"/>
    <mergeCell ref="A36:M36"/>
    <mergeCell ref="K38:M38"/>
    <mergeCell ref="A1:M1"/>
    <mergeCell ref="E39:H39"/>
    <mergeCell ref="K37:M37"/>
    <mergeCell ref="I39:M39"/>
    <mergeCell ref="A41:M41"/>
    <mergeCell ref="A38:B38"/>
    <mergeCell ref="E40:H40"/>
    <mergeCell ref="C38:D38"/>
    <mergeCell ref="I38:J38"/>
    <mergeCell ref="C37:D37"/>
    <mergeCell ref="A3:M3"/>
    <mergeCell ref="E37:F37"/>
    <mergeCell ref="A2:M2"/>
    <mergeCell ref="I40:M40"/>
  </mergeCells>
  <conditionalFormatting sqref="H5:H34">
    <cfRule type="expression" priority="1" dxfId="3" stopIfTrue="1">
      <formula>EXACT($H5,"Pass")</formula>
    </cfRule>
    <cfRule type="expression" priority="2" dxfId="5" stopIfTrue="1">
      <formula>EXACT($H5,"Fail")</formula>
    </cfRule>
    <cfRule type="expression" priority="3" dxfId="4" stopIfTrue="1">
      <formula>EXACT($H5,"Pending")</formula>
    </cfRule>
    <cfRule type="expression" priority="4" dxfId="8" stopIfTrue="1">
      <formula>EXACT($H5,"Waived")</formula>
    </cfRule>
  </conditionalFormatting>
  <conditionalFormatting sqref="K5:K34">
    <cfRule type="expression" priority="5" dxfId="8" stopIfTrue="1">
      <formula>EXACT($K5,"Not Started")</formula>
    </cfRule>
    <cfRule type="expression" priority="6" dxfId="4" stopIfTrue="1">
      <formula>EXACT($K5,"In Progress")</formula>
    </cfRule>
    <cfRule type="expression" priority="7" dxfId="3" stopIfTrue="1">
      <formula>EXACT($K5,"Complete")</formula>
    </cfRule>
    <cfRule type="expression" priority="8" dxfId="5" stopIfTrue="1">
      <formula>EXACT($K5,"Blocked")</formula>
    </cfRule>
  </conditionalFormatting>
  <conditionalFormatting sqref="F5:F34">
    <cfRule type="expression" priority="9" dxfId="5" stopIfTrue="0">
      <formula>AND($A5&lt;&gt;"",$F5&lt;&gt;"",$F5&lt;TODAY(),$G5="")</formula>
    </cfRule>
    <cfRule type="expression" priority="13" dxfId="4" stopIfTrue="0">
      <formula>AND($A5&lt;&gt;"",F5="")</formula>
    </cfRule>
  </conditionalFormatting>
  <conditionalFormatting sqref="I5:I34">
    <cfRule type="expression" priority="10" dxfId="4" stopIfTrue="0">
      <formula>AND(ISNUMBER($I5),$I5&gt;0)</formula>
    </cfRule>
  </conditionalFormatting>
  <conditionalFormatting sqref="A5:A34">
    <cfRule type="expression" priority="11" dxfId="5" stopIfTrue="0">
      <formula>AND($A5&lt;&gt;"",COUNTIF($A$5:$A$34,$A5)&gt;1)</formula>
    </cfRule>
  </conditionalFormatting>
  <conditionalFormatting sqref="E5:E34">
    <cfRule type="expression" priority="12" dxfId="4" stopIfTrue="0">
      <formula>AND($A5&lt;&gt;"",E5="")</formula>
    </cfRule>
  </conditionalFormatting>
  <conditionalFormatting sqref="I38">
    <cfRule type="expression" priority="14" dxfId="5" stopIfTrue="1">
      <formula>$E$38/$A$38&lt;0.9</formula>
    </cfRule>
    <cfRule type="expression" priority="15" dxfId="4" stopIfTrue="1">
      <formula>$E$38/$A$38&lt;1</formula>
    </cfRule>
    <cfRule type="expression" priority="16" dxfId="3" stopIfTrue="0">
      <formula>$A$38&gt;=0</formula>
    </cfRule>
  </conditionalFormatting>
  <conditionalFormatting sqref="I40">
    <cfRule type="expression" priority="17" dxfId="5" stopIfTrue="1">
      <formula>EXACT($I40,"ATTENTION")</formula>
    </cfRule>
    <cfRule type="expression" priority="18" dxfId="4" stopIfTrue="1">
      <formula>EXACT($I40,"REVIEW")</formula>
    </cfRule>
    <cfRule type="expression" priority="19" dxfId="3" stopIfTrue="1">
      <formula>EXACT($I40,"PASS")</formula>
    </cfRule>
  </conditionalFormatting>
  <dataValidations count="4">
    <dataValidation sqref="B5:B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E5:E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H5:H34" showDropDown="0" showInputMessage="1" showErrorMessage="1" allowBlank="1" errorTitle="Value not allowed" error="Pick a value from the drop-down list (L_QualityResult)." promptTitle="Select" prompt="Choose a value from the drop-down list." type="list" errorStyle="stop">
      <formula1>L_QualityResult</formula1>
    </dataValidation>
    <dataValidation sqref="K5:K34" showDropDown="0" showInputMessage="1" showErrorMessage="1" allowBlank="1" errorTitle="Value not allowed" error="Pick a value from the drop-down list (L_TaskStatus)." promptTitle="Select" prompt="Choose a value from the drop-down list." type="list" errorStyle="stop">
      <formula1>L_TaskStatus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4" customWidth="1" min="4" max="4"/>
    <col width="18" customWidth="1" min="5" max="5"/>
    <col width="18" customWidth="1" min="6" max="6"/>
    <col width="18" customWidth="1" min="7" max="7"/>
    <col width="16" customWidth="1" min="8" max="8"/>
  </cols>
  <sheetData>
    <row r="1" ht="32" customHeight="1">
      <c r="A1" s="1" t="inlineStr">
        <is>
          <t>WEEKLY PROJECT STATUS REPORT</t>
        </is>
      </c>
    </row>
    <row r="2" ht="17" customHeight="1">
      <c r="A2" s="2" t="inlineStr">
        <is>
          <t>One-page, print-ready status report. Choose a project: the schedule, cost, quality, risk, issue and action sections fill themselves; the text boxes are yours.</t>
        </is>
      </c>
    </row>
    <row r="3" ht="15" customHeight="1">
      <c r="A3" s="3" t="inlineStr">
        <is>
          <t>Print landscape on one page. The automatic sections read from the registers, so the report can never disagree with the dashboard.</t>
        </is>
      </c>
    </row>
    <row r="4" ht="20" customHeight="1">
      <c r="A4" s="6" t="inlineStr">
        <is>
          <t>REPORT HEADER</t>
        </is>
      </c>
    </row>
    <row r="5" ht="22" customHeight="1">
      <c r="A5" s="71" t="inlineStr">
        <is>
          <t>REPORTING WEEK</t>
        </is>
      </c>
      <c r="B5" s="17">
        <f>"Week ending "&amp;TEXT(TODAY()-WEEKDAY(TODAY(),2)+7,"dd mmm yyyy")</f>
        <v/>
      </c>
      <c r="C5" s="14" t="n"/>
      <c r="D5" s="71" t="inlineStr">
        <is>
          <t>PROJECT</t>
        </is>
      </c>
      <c r="E5" s="17" t="inlineStr">
        <is>
          <t>ERP Implementation</t>
        </is>
      </c>
      <c r="F5" s="14" t="n"/>
      <c r="G5" s="71" t="inlineStr">
        <is>
          <t>REPORT DATE</t>
        </is>
      </c>
      <c r="H5" s="92">
        <f>TODAY()</f>
        <v/>
      </c>
    </row>
    <row r="6" ht="22" customHeight="1">
      <c r="A6" s="71" t="inlineStr">
        <is>
          <t>PROJECT MANAGER</t>
        </is>
      </c>
      <c r="B6" s="17">
        <f>IFERROR(INDEX('02_PROJECT_PORTFOLIO'!$D$5:$D$34,MATCH($E$5,'02_PROJECT_PORTFOLIO'!$C$5:$C$34,0)),"-")</f>
        <v/>
      </c>
      <c r="C6" s="14" t="n"/>
      <c r="D6" s="71" t="inlineStr">
        <is>
          <t>STATUS</t>
        </is>
      </c>
      <c r="E6" s="17">
        <f>IFERROR(INDEX('02_PROJECT_PORTFOLIO'!$M$5:$M$34,MATCH($E$5,'02_PROJECT_PORTFOLIO'!$C$5:$C$34,0)),"-")</f>
        <v/>
      </c>
      <c r="F6" s="14" t="n"/>
      <c r="G6" s="71" t="inlineStr">
        <is>
          <t>RAG</t>
        </is>
      </c>
      <c r="H6" s="17">
        <f>IFERROR(INDEX('02_PROJECT_PORTFOLIO'!$N$5:$N$34,MATCH($E$5,'02_PROJECT_PORTFOLIO'!$C$5:$C$34,0)),"-")</f>
        <v/>
      </c>
    </row>
    <row r="7" ht="22" customHeight="1">
      <c r="A7" s="71" t="inlineStr">
        <is>
          <t>CUSTOMER</t>
        </is>
      </c>
      <c r="B7" s="17">
        <f>IFERROR(INDEX('02_PROJECT_PORTFOLIO'!$B$5:$B$34,MATCH($E$5,'02_PROJECT_PORTFOLIO'!$C$5:$C$34,0)),"-")</f>
        <v/>
      </c>
      <c r="C7" s="14" t="n"/>
      <c r="D7" s="71" t="inlineStr">
        <is>
          <t>% COMPLETE</t>
        </is>
      </c>
      <c r="E7" s="93">
        <f>IFERROR(INDEX('02_PROJECT_PORTFOLIO'!$L$5:$L$34,MATCH($E$5,'02_PROJECT_PORTFOLIO'!$C$5:$C$34,0)),"-")</f>
        <v/>
      </c>
      <c r="F7" s="14" t="n"/>
      <c r="G7" s="71" t="inlineStr">
        <is>
          <t>HEALTH</t>
        </is>
      </c>
      <c r="H7" s="17">
        <f>IFERROR(INDEX('02_PROJECT_PORTFOLIO'!$V$5:$V$34,MATCH($E$5,'02_PROJECT_PORTFOLIO'!$C$5:$C$34,0)),"-")</f>
        <v/>
      </c>
    </row>
    <row r="8" ht="6" customHeight="1"/>
    <row r="9" ht="20" customHeight="1">
      <c r="A9" s="94" t="inlineStr">
        <is>
          <t>EXECUTIVE SUMMARY   -   TYPE HERE</t>
        </is>
      </c>
    </row>
    <row r="10" ht="54" customHeight="1">
      <c r="A10" s="74" t="n"/>
      <c r="B10" s="75" t="n"/>
      <c r="C10" s="75" t="n"/>
      <c r="D10" s="75" t="n"/>
      <c r="E10" s="75" t="n"/>
      <c r="F10" s="75" t="n"/>
      <c r="G10" s="75" t="n"/>
      <c r="H10" s="75" t="n"/>
    </row>
    <row r="11" ht="20" customHeight="1">
      <c r="A11" s="94" t="inlineStr">
        <is>
          <t>COMPLETED THIS WEEK   -   TYPE HERE</t>
        </is>
      </c>
    </row>
    <row r="12" ht="44" customHeight="1">
      <c r="A12" s="74" t="n"/>
      <c r="B12" s="75" t="n"/>
      <c r="C12" s="75" t="n"/>
      <c r="D12" s="75" t="n"/>
      <c r="E12" s="75" t="n"/>
      <c r="F12" s="75" t="n"/>
      <c r="G12" s="75" t="n"/>
      <c r="H12" s="75" t="n"/>
    </row>
    <row r="13" ht="20" customHeight="1">
      <c r="A13" s="94" t="inlineStr">
        <is>
          <t>PLANNED NEXT WEEK   -   TYPE HERE</t>
        </is>
      </c>
    </row>
    <row r="14" ht="44" customHeight="1">
      <c r="A14" s="74" t="n"/>
      <c r="B14" s="75" t="n"/>
      <c r="C14" s="75" t="n"/>
      <c r="D14" s="75" t="n"/>
      <c r="E14" s="75" t="n"/>
      <c r="F14" s="75" t="n"/>
      <c r="G14" s="75" t="n"/>
      <c r="H14" s="75" t="n"/>
    </row>
    <row r="15" ht="20" customHeight="1">
      <c r="A15" s="94" t="inlineStr">
        <is>
          <t>KEY MILESTONES   -   AUTOMATIC (NEXT 3 FOR THIS PROJECT)</t>
        </is>
      </c>
    </row>
    <row r="16" ht="18" customHeight="1">
      <c r="A16" s="95">
        <f>"•   "&amp;IFERROR(INDEX('05_MILESTONES'!$C$5:$C$34,MATCH($E$5&amp;"|1",'05_MILESTONES'!$N$5:$N$34,0))&amp;"   -   forecast "&amp;TEXT(INDEX('05_MILESTONES'!$F$5:$F$34,MATCH($E$5&amp;"|1",'05_MILESTONES'!$N$5:$N$34,0)),"dd mmm yyyy")&amp;"   -   "&amp;INDEX('05_MILESTONES'!$H$5:$H$34,MATCH($E$5&amp;"|1",'05_MILESTONES'!$N$5:$N$34,0)),"No further milestone recorded")</f>
        <v/>
      </c>
      <c r="B16" s="16" t="n"/>
      <c r="C16" s="16" t="n"/>
      <c r="D16" s="16" t="n"/>
      <c r="E16" s="16" t="n"/>
      <c r="F16" s="16" t="n"/>
      <c r="G16" s="16" t="n"/>
      <c r="H16" s="16" t="n"/>
    </row>
    <row r="17" ht="18" customHeight="1">
      <c r="A17" s="95">
        <f>"•   "&amp;IFERROR(INDEX('05_MILESTONES'!$C$5:$C$34,MATCH($E$5&amp;"|2",'05_MILESTONES'!$N$5:$N$34,0))&amp;"   -   forecast "&amp;TEXT(INDEX('05_MILESTONES'!$F$5:$F$34,MATCH($E$5&amp;"|2",'05_MILESTONES'!$N$5:$N$34,0)),"dd mmm yyyy")&amp;"   -   "&amp;INDEX('05_MILESTONES'!$H$5:$H$34,MATCH($E$5&amp;"|2",'05_MILESTONES'!$N$5:$N$34,0)),"No further milestone recorded")</f>
        <v/>
      </c>
      <c r="B17" s="16" t="n"/>
      <c r="C17" s="16" t="n"/>
      <c r="D17" s="16" t="n"/>
      <c r="E17" s="16" t="n"/>
      <c r="F17" s="16" t="n"/>
      <c r="G17" s="16" t="n"/>
      <c r="H17" s="16" t="n"/>
    </row>
    <row r="18" ht="18" customHeight="1">
      <c r="A18" s="95">
        <f>"•   "&amp;IFERROR(INDEX('05_MILESTONES'!$C$5:$C$34,MATCH($E$5&amp;"|3",'05_MILESTONES'!$N$5:$N$34,0))&amp;"   -   forecast "&amp;TEXT(INDEX('05_MILESTONES'!$F$5:$F$34,MATCH($E$5&amp;"|3",'05_MILESTONES'!$N$5:$N$34,0)),"dd mmm yyyy")&amp;"   -   "&amp;INDEX('05_MILESTONES'!$H$5:$H$34,MATCH($E$5&amp;"|3",'05_MILESTONES'!$N$5:$N$34,0)),"No further milestone recorded")</f>
        <v/>
      </c>
      <c r="B18" s="16" t="n"/>
      <c r="C18" s="16" t="n"/>
      <c r="D18" s="16" t="n"/>
      <c r="E18" s="16" t="n"/>
      <c r="F18" s="16" t="n"/>
      <c r="G18" s="16" t="n"/>
      <c r="H18" s="16" t="n"/>
    </row>
    <row r="19" ht="20" customHeight="1">
      <c r="A19" s="94" t="inlineStr">
        <is>
          <t>SCHEDULE STATUS   -   AUTOMATIC</t>
        </is>
      </c>
    </row>
    <row r="20" ht="20" customHeight="1">
      <c r="A20" s="95">
        <f>"Schedule variance: "&amp;IFERROR(INDEX('02_PROJECT_PORTFOLIO'!$R$5:$R$34,MATCH($E$5,'02_PROJECT_PORTFOLIO'!$C$5:$C$34,0)),"-")&amp;" days   |   Tasks complete: "&amp;IF(COUNTIF('04_WBS_SCHEDULE'!$B$5:$B$34,$E$5)=0,"-",COUNTIFS('04_WBS_SCHEDULE'!$B$5:$B$34,$E$5,'04_WBS_SCHEDULE'!$N$5:$N$34,"Complete")&amp;" of "&amp;COUNTIF('04_WBS_SCHEDULE'!$B$5:$B$34,$E$5))&amp;"   |   Milestones overdue: "&amp;COUNTIFS('05_MILESTONES'!$B$5:$B$34,$E$5,'05_MILESTONES'!$F$5:$F$34,"&gt;0",'05_MILESTONES'!$F$5:$F$34,"&lt;"&amp;TODAY(),'05_MILESTONES'!$H$5:$H$34,"&lt;&gt;Complete")&amp;"   |   Milestones due in 7 days: "&amp;COUNTIFS('05_MILESTONES'!$B$5:$B$34,$E$5,'05_MILESTONES'!$F$5:$F$34,"&gt;="&amp;TODAY(),'05_MILESTONES'!$F$5:$F$34,"&lt;="&amp;TODAY()+7,'05_MILESTONES'!$H$5:$H$34,"&lt;&gt;Complete")</f>
        <v/>
      </c>
      <c r="B20" s="16" t="n"/>
      <c r="C20" s="16" t="n"/>
      <c r="D20" s="16" t="n"/>
      <c r="E20" s="16" t="n"/>
      <c r="F20" s="16" t="n"/>
      <c r="G20" s="16" t="n"/>
      <c r="H20" s="16" t="n"/>
    </row>
    <row r="21" ht="20" customHeight="1">
      <c r="A21" s="94" t="inlineStr">
        <is>
          <t>COST STATUS   -   AUTOMATIC</t>
        </is>
      </c>
    </row>
    <row r="22" ht="20" customHeight="1">
      <c r="A22" s="95">
        <f>"Approved: "&amp;TEXT(IFERROR(INDEX('02_PROJECT_PORTFOLIO'!$O$5:$O$34,MATCH($E$5,'02_PROJECT_PORTFOLIO'!$C$5:$C$34,0)),0),"#,##0")&amp;"   |   Actual: "&amp;TEXT(IFERROR(INDEX('02_PROJECT_PORTFOLIO'!$P$5:$P$34,MATCH($E$5,'02_PROJECT_PORTFOLIO'!$C$5:$C$34,0)),0),"#,##0")&amp;" ("&amp;TEXT(IFERROR(INDEX('02_PROJECT_PORTFOLIO'!$P$5:$P$34,MATCH($E$5,'02_PROJECT_PORTFOLIO'!$C$5:$C$34,0))/INDEX('02_PROJECT_PORTFOLIO'!$O$5:$O$34,MATCH($E$5,'02_PROJECT_PORTFOLIO'!$C$5:$C$34,0)),0),"0%")&amp;")   |   Forecast: "&amp;TEXT(IFERROR(INDEX('02_PROJECT_PORTFOLIO'!$Q$5:$Q$34,MATCH($E$5,'02_PROJECT_PORTFOLIO'!$C$5:$C$34,0)),0),"#,##0")&amp;IF(IFERROR(INDEX('02_PROJECT_PORTFOLIO'!$Q$5:$Q$34,MATCH($E$5,'02_PROJECT_PORTFOLIO'!$C$5:$C$34,0)),0)&gt;IFERROR(INDEX('02_PROJECT_PORTFOLIO'!$O$5:$O$34,MATCH($E$5,'02_PROJECT_PORTFOLIO'!$C$5:$C$34,0)),0),"   -   OVER APPROVED BY "&amp;TEXT(INDEX('02_PROJECT_PORTFOLIO'!$Q$5:$Q$34,MATCH($E$5,'02_PROJECT_PORTFOLIO'!$C$5:$C$34,0))-INDEX('02_PROJECT_PORTFOLIO'!$O$5:$O$34,MATCH($E$5,'02_PROJECT_PORTFOLIO'!$C$5:$C$34,0)),"#,##0"),"   -   within approved")</f>
        <v/>
      </c>
      <c r="B22" s="16" t="n"/>
      <c r="C22" s="16" t="n"/>
      <c r="D22" s="16" t="n"/>
      <c r="E22" s="16" t="n"/>
      <c r="F22" s="16" t="n"/>
      <c r="G22" s="16" t="n"/>
      <c r="H22" s="16" t="n"/>
    </row>
    <row r="23" ht="20" customHeight="1">
      <c r="A23" s="94" t="inlineStr">
        <is>
          <t>SCOPE STATUS   -   TYPE HERE</t>
        </is>
      </c>
    </row>
    <row r="24" ht="44" customHeight="1">
      <c r="A24" s="74" t="n"/>
      <c r="B24" s="75" t="n"/>
      <c r="C24" s="75" t="n"/>
      <c r="D24" s="75" t="n"/>
      <c r="E24" s="75" t="n"/>
      <c r="F24" s="75" t="n"/>
      <c r="G24" s="75" t="n"/>
      <c r="H24" s="75" t="n"/>
    </row>
    <row r="25" ht="20" customHeight="1">
      <c r="A25" s="94" t="inlineStr">
        <is>
          <t>QUALITY STATUS   -   AUTOMATIC</t>
        </is>
      </c>
    </row>
    <row r="26" ht="20" customHeight="1">
      <c r="A26" s="95">
        <f>"Checks passed: "&amp;COUNTIFS('14_QUALITY_CONTROL'!$B$5:$B$34,$E$5,'14_QUALITY_CONTROL'!$H$5:$H$34,"Pass")&amp;" of "&amp;COUNTIF('14_QUALITY_CONTROL'!$B$5:$B$34,$E$5)&amp;"   |   Failed: "&amp;COUNTIFS('14_QUALITY_CONTROL'!$B$5:$B$34,$E$5,'14_QUALITY_CONTROL'!$H$5:$H$34,"Fail")&amp;"   |   Defects: "&amp;SUMIFS('14_QUALITY_CONTROL'!$I$5:$I$34,'14_QUALITY_CONTROL'!$B$5:$B$34,$E$5)&amp;"   |   Open corrective actions: "&amp;COUNTIFS('14_QUALITY_CONTROL'!$B$5:$B$34,$E$5,'14_QUALITY_CONTROL'!$J$5:$J$34,"&lt;&gt;",'14_QUALITY_CONTROL'!$K$5:$K$34,"&lt;&gt;Complete")&amp;"   |   Pending decisions: "&amp;COUNTIFS('17_DECISION_LOG'!$B$5:$B$34,$E$5,'17_DECISION_LOG'!$L$5:$L$34,"Pending")</f>
        <v/>
      </c>
      <c r="B26" s="16" t="n"/>
      <c r="C26" s="16" t="n"/>
      <c r="D26" s="16" t="n"/>
      <c r="E26" s="16" t="n"/>
      <c r="F26" s="16" t="n"/>
      <c r="G26" s="16" t="n"/>
      <c r="H26" s="16" t="n"/>
    </row>
    <row r="27" ht="20" customHeight="1">
      <c r="A27" s="94" t="inlineStr">
        <is>
          <t>TOP RISKS   -   AUTOMATIC (TOP 3 BY SCORE)</t>
        </is>
      </c>
    </row>
    <row r="28" ht="18" customHeight="1">
      <c r="A28" s="95">
        <f>"•   "&amp;IFERROR(INDEX('06_RAID_LOG'!$D$5:$D$34,MATCH("Risk|"&amp;$E$5&amp;"|1",'06_RAID_LOG'!$T$5:$T$34,0))&amp;"   ["&amp;INDEX('06_RAID_LOG'!$I$5:$I$34,MATCH("Risk|"&amp;$E$5&amp;"|1",'06_RAID_LOG'!$T$5:$T$34,0))&amp;"]   owner: "&amp;INDEX('06_RAID_LOG'!$J$5:$J$34,MATCH("Risk|"&amp;$E$5&amp;"|1",'06_RAID_LOG'!$T$5:$T$34,0)),"")</f>
        <v/>
      </c>
      <c r="B28" s="16" t="n"/>
      <c r="C28" s="16" t="n"/>
      <c r="D28" s="16" t="n"/>
      <c r="E28" s="16" t="n"/>
      <c r="F28" s="16" t="n"/>
      <c r="G28" s="16" t="n"/>
      <c r="H28" s="16" t="n"/>
    </row>
    <row r="29" ht="18" customHeight="1">
      <c r="A29" s="95">
        <f>"•   "&amp;IFERROR(INDEX('06_RAID_LOG'!$D$5:$D$34,MATCH("Risk|"&amp;$E$5&amp;"|2",'06_RAID_LOG'!$T$5:$T$34,0))&amp;"   ["&amp;INDEX('06_RAID_LOG'!$I$5:$I$34,MATCH("Risk|"&amp;$E$5&amp;"|2",'06_RAID_LOG'!$T$5:$T$34,0))&amp;"]   owner: "&amp;INDEX('06_RAID_LOG'!$J$5:$J$34,MATCH("Risk|"&amp;$E$5&amp;"|2",'06_RAID_LOG'!$T$5:$T$34,0)),"")</f>
        <v/>
      </c>
      <c r="B29" s="16" t="n"/>
      <c r="C29" s="16" t="n"/>
      <c r="D29" s="16" t="n"/>
      <c r="E29" s="16" t="n"/>
      <c r="F29" s="16" t="n"/>
      <c r="G29" s="16" t="n"/>
      <c r="H29" s="16" t="n"/>
    </row>
    <row r="30" ht="18" customHeight="1">
      <c r="A30" s="95">
        <f>"•   "&amp;IFERROR(INDEX('06_RAID_LOG'!$D$5:$D$34,MATCH("Risk|"&amp;$E$5&amp;"|3",'06_RAID_LOG'!$T$5:$T$34,0))&amp;"   ["&amp;INDEX('06_RAID_LOG'!$I$5:$I$34,MATCH("Risk|"&amp;$E$5&amp;"|3",'06_RAID_LOG'!$T$5:$T$34,0))&amp;"]   owner: "&amp;INDEX('06_RAID_LOG'!$J$5:$J$34,MATCH("Risk|"&amp;$E$5&amp;"|3",'06_RAID_LOG'!$T$5:$T$34,0)),"")</f>
        <v/>
      </c>
      <c r="B30" s="16" t="n"/>
      <c r="C30" s="16" t="n"/>
      <c r="D30" s="16" t="n"/>
      <c r="E30" s="16" t="n"/>
      <c r="F30" s="16" t="n"/>
      <c r="G30" s="16" t="n"/>
      <c r="H30" s="16" t="n"/>
    </row>
    <row r="31" ht="20" customHeight="1">
      <c r="A31" s="94" t="inlineStr">
        <is>
          <t>TOP ISSUES   -   AUTOMATIC (TOP 2)</t>
        </is>
      </c>
    </row>
    <row r="32" ht="18" customHeight="1">
      <c r="A32" s="95">
        <f>"•   "&amp;IFERROR(INDEX('06_RAID_LOG'!$D$5:$D$34,MATCH("Issue|"&amp;$E$5&amp;"|1",'06_RAID_LOG'!$T$5:$T$34,0))&amp;"   owner: "&amp;INDEX('06_RAID_LOG'!$J$5:$J$34,MATCH("Issue|"&amp;$E$5&amp;"|1",'06_RAID_LOG'!$T$5:$T$34,0)),"")</f>
        <v/>
      </c>
      <c r="B32" s="16" t="n"/>
      <c r="C32" s="16" t="n"/>
      <c r="D32" s="16" t="n"/>
      <c r="E32" s="16" t="n"/>
      <c r="F32" s="16" t="n"/>
      <c r="G32" s="16" t="n"/>
      <c r="H32" s="16" t="n"/>
    </row>
    <row r="33" ht="18" customHeight="1">
      <c r="A33" s="95">
        <f>"•   "&amp;IFERROR(INDEX('06_RAID_LOG'!$D$5:$D$34,MATCH("Issue|"&amp;$E$5&amp;"|2",'06_RAID_LOG'!$T$5:$T$34,0))&amp;"   owner: "&amp;INDEX('06_RAID_LOG'!$J$5:$J$34,MATCH("Issue|"&amp;$E$5&amp;"|2",'06_RAID_LOG'!$T$5:$T$34,0)),"")</f>
        <v/>
      </c>
      <c r="B33" s="16" t="n"/>
      <c r="C33" s="16" t="n"/>
      <c r="D33" s="16" t="n"/>
      <c r="E33" s="16" t="n"/>
      <c r="F33" s="16" t="n"/>
      <c r="G33" s="16" t="n"/>
      <c r="H33" s="16" t="n"/>
    </row>
    <row r="34" ht="20" customHeight="1">
      <c r="A34" s="94" t="inlineStr">
        <is>
          <t>DECISIONS REQUIRED FROM MANAGEMENT   -   AUTOMATIC COUNTS + YOUR ASK</t>
        </is>
      </c>
    </row>
    <row r="35" ht="20" customHeight="1">
      <c r="A35" s="95">
        <f>"Pending decisions: "&amp;COUNTIFS('17_DECISION_LOG'!$B$5:$B$34,$E$5,'17_DECISION_LOG'!$L$5:$L$34,"Pending")&amp;"   |   Pending changes: "&amp;COUNTIFS('10_CHANGE_CONTROL'!$B$5:$B$34,$E$5,'10_CHANGE_CONTROL'!$N$5:$N$34,"Pending")&amp;"   |   Overdue actions: "&amp;COUNTIFS('07_ACTION_TRACKER'!$B$5:$B$34,$E$5,'07_ACTION_TRACKER'!$K$5:$K$34,"&gt;0")&amp;"   |   Open risks: "&amp;COUNTIFS('06_RAID_LOG'!$B$5:$B$34,$E$5,'06_RAID_LOG'!$C$5:$C$34,"Risk",'06_RAID_LOG'!$N$5:$N$34,"&lt;&gt;Closed")</f>
        <v/>
      </c>
      <c r="B35" s="16" t="n"/>
      <c r="C35" s="16" t="n"/>
      <c r="D35" s="16" t="n"/>
      <c r="E35" s="16" t="n"/>
      <c r="F35" s="16" t="n"/>
      <c r="G35" s="16" t="n"/>
      <c r="H35" s="16" t="n"/>
    </row>
    <row r="36" ht="40" customHeight="1">
      <c r="A36" s="74" t="n"/>
      <c r="B36" s="75" t="n"/>
      <c r="C36" s="75" t="n"/>
      <c r="D36" s="75" t="n"/>
      <c r="E36" s="75" t="n"/>
      <c r="F36" s="75" t="n"/>
      <c r="G36" s="75" t="n"/>
      <c r="H36" s="75" t="n"/>
    </row>
    <row r="37" ht="20" customHeight="1">
      <c r="A37" s="94" t="inlineStr">
        <is>
          <t>SUPPORT REQUIRED   -   TYPE HERE</t>
        </is>
      </c>
    </row>
    <row r="38" ht="40" customHeight="1">
      <c r="A38" s="74" t="n"/>
      <c r="B38" s="75" t="n"/>
      <c r="C38" s="75" t="n"/>
      <c r="D38" s="75" t="n"/>
      <c r="E38" s="75" t="n"/>
      <c r="F38" s="75" t="n"/>
      <c r="G38" s="75" t="n"/>
      <c r="H38" s="75" t="n"/>
    </row>
  </sheetData>
  <mergeCells count="40">
    <mergeCell ref="A9:H9"/>
    <mergeCell ref="A30:H30"/>
    <mergeCell ref="B7:C7"/>
    <mergeCell ref="A15:H15"/>
    <mergeCell ref="A24:H24"/>
    <mergeCell ref="E5:F5"/>
    <mergeCell ref="A36:H36"/>
    <mergeCell ref="A11:H11"/>
    <mergeCell ref="A1:H1"/>
    <mergeCell ref="A25:H25"/>
    <mergeCell ref="A16:H16"/>
    <mergeCell ref="A37:H37"/>
    <mergeCell ref="A27:H27"/>
    <mergeCell ref="A12:H12"/>
    <mergeCell ref="A18:H18"/>
    <mergeCell ref="A3:H3"/>
    <mergeCell ref="E6:F6"/>
    <mergeCell ref="A21:H21"/>
    <mergeCell ref="A26:H26"/>
    <mergeCell ref="A2:H2"/>
    <mergeCell ref="A33:H33"/>
    <mergeCell ref="A14:H14"/>
    <mergeCell ref="A23:H23"/>
    <mergeCell ref="A32:H32"/>
    <mergeCell ref="A22:H22"/>
    <mergeCell ref="A17:H17"/>
    <mergeCell ref="A4:H4"/>
    <mergeCell ref="B6:C6"/>
    <mergeCell ref="A29:H29"/>
    <mergeCell ref="A35:H35"/>
    <mergeCell ref="E7:F7"/>
    <mergeCell ref="A20:H20"/>
    <mergeCell ref="B5:C5"/>
    <mergeCell ref="A38:H38"/>
    <mergeCell ref="A10:H10"/>
    <mergeCell ref="A28:H28"/>
    <mergeCell ref="A13:H13"/>
    <mergeCell ref="A19:H19"/>
    <mergeCell ref="A31:H31"/>
    <mergeCell ref="A34:H34"/>
  </mergeCells>
  <conditionalFormatting sqref="E6">
    <cfRule type="expression" priority="1" dxfId="3" stopIfTrue="1">
      <formula>EXACT($E6,"Active")</formula>
    </cfRule>
    <cfRule type="expression" priority="2" dxfId="8" stopIfTrue="1">
      <formula>EXACT($E6,"Completed")</formula>
    </cfRule>
    <cfRule type="expression" priority="3" dxfId="4" stopIfTrue="1">
      <formula>EXACT($E6,"On Hold")</formula>
    </cfRule>
    <cfRule type="expression" priority="4" dxfId="8" stopIfTrue="1">
      <formula>EXACT($E6,"Not Started")</formula>
    </cfRule>
    <cfRule type="expression" priority="5" dxfId="5" stopIfTrue="1">
      <formula>EXACT($E6,"Cancelled")</formula>
    </cfRule>
  </conditionalFormatting>
  <conditionalFormatting sqref="H6">
    <cfRule type="expression" priority="6" dxfId="3" stopIfTrue="1">
      <formula>EXACT($H6,"Green")</formula>
    </cfRule>
    <cfRule type="expression" priority="7" dxfId="4" stopIfTrue="1">
      <formula>EXACT($H6,"Yellow")</formula>
    </cfRule>
    <cfRule type="expression" priority="8" dxfId="5" stopIfTrue="1">
      <formula>EXACT($H6,"Red")</formula>
    </cfRule>
  </conditionalFormatting>
  <dataValidations count="1">
    <dataValidation sqref="E5:F5" showDropDown="0" showInputMessage="1" showErrorMessage="1" allowBlank="1" errorTitle="Value not allowed" error="Pick a value from the drop-down list (L_Projects)." promptTitle="Select" prompt="Choose the project this report covers" type="list" errorStyle="stop">
      <formula1>L_Projects</formula1>
    </dataValidation>
  </dataValidations>
  <pageMargins left="0.3" right="0.3" top="0.45" bottom="0.45" header="0.2" footer="0.25"/>
  <pageSetup orientation="landscape" fitToHeight="1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18" customWidth="1" min="4" max="4"/>
    <col width="16" customWidth="1" min="5" max="5"/>
    <col width="34" customWidth="1" min="6" max="6"/>
    <col width="28" customWidth="1" min="7" max="7"/>
    <col width="36" customWidth="1" min="8" max="8"/>
    <col width="32" customWidth="1" min="9" max="9"/>
    <col width="32" customWidth="1" min="10" max="10"/>
    <col width="16" customWidth="1" min="11" max="11"/>
    <col width="12" customWidth="1" min="12" max="12"/>
    <col width="14" customWidth="1" min="13" max="13"/>
    <col width="24" customWidth="1" min="14" max="14"/>
  </cols>
  <sheetData>
    <row r="1" ht="32" customHeight="1">
      <c r="A1" s="1" t="inlineStr">
        <is>
          <t>MEETING MINUTES &amp; ACTIONS</t>
        </is>
      </c>
    </row>
    <row r="2" ht="17" customHeight="1">
      <c r="A2" s="2" t="inlineStr">
        <is>
          <t>Minutes with the decision taken and the action raised. Every action must land in 07_ACTION_TRACKER with an owner and due date.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Meeting ID</t>
        </is>
      </c>
      <c r="B4" s="64" t="inlineStr">
        <is>
          <t>Date</t>
        </is>
      </c>
      <c r="C4" s="64" t="inlineStr">
        <is>
          <t>Project</t>
        </is>
      </c>
      <c r="D4" s="64" t="inlineStr">
        <is>
          <t>Meeting Type</t>
        </is>
      </c>
      <c r="E4" s="64" t="inlineStr">
        <is>
          <t>Chair</t>
        </is>
      </c>
      <c r="F4" s="64" t="inlineStr">
        <is>
          <t>Attendees</t>
        </is>
      </c>
      <c r="G4" s="64" t="inlineStr">
        <is>
          <t>Agenda</t>
        </is>
      </c>
      <c r="H4" s="64" t="inlineStr">
        <is>
          <t>Discussion</t>
        </is>
      </c>
      <c r="I4" s="64" t="inlineStr">
        <is>
          <t>Decision</t>
        </is>
      </c>
      <c r="J4" s="64" t="inlineStr">
        <is>
          <t>Action</t>
        </is>
      </c>
      <c r="K4" s="64" t="inlineStr">
        <is>
          <t>Owner</t>
        </is>
      </c>
      <c r="L4" s="64" t="inlineStr">
        <is>
          <t>Due Date</t>
        </is>
      </c>
      <c r="M4" s="64" t="inlineStr">
        <is>
          <t>Status</t>
        </is>
      </c>
      <c r="N4" s="64" t="inlineStr">
        <is>
          <t>Notes</t>
        </is>
      </c>
    </row>
    <row r="5" ht="28" customHeight="1">
      <c r="A5" s="65" t="inlineStr">
        <is>
          <t>MTG-001</t>
        </is>
      </c>
      <c r="B5" s="66" t="n">
        <v>46301</v>
      </c>
      <c r="C5" s="65" t="inlineStr">
        <is>
          <t>ERP Implementation</t>
        </is>
      </c>
      <c r="D5" s="65" t="inlineStr">
        <is>
          <t>Steering Committee</t>
        </is>
      </c>
      <c r="E5" s="65" t="inlineStr">
        <is>
          <t>Sarah Mitchell</t>
        </is>
      </c>
      <c r="F5" s="70" t="inlineStr">
        <is>
          <t>Sarah Mitchell, Ahmed Khan, Priya Raman, David Okoro</t>
        </is>
      </c>
      <c r="G5" s="70" t="inlineStr">
        <is>
          <t>Status, RAID, change requests</t>
        </is>
      </c>
      <c r="H5" s="70" t="inlineStr">
        <is>
          <t>Reviewed Yellow RAG; vendor delivery risk escalated; CR-001 discussed</t>
        </is>
      </c>
      <c r="I5" s="70" t="inlineStr">
        <is>
          <t>Escalate vendor delivery risk to sponsor call</t>
        </is>
      </c>
      <c r="J5" s="70" t="inlineStr">
        <is>
          <t>Confirm vendor recovery plan</t>
        </is>
      </c>
      <c r="K5" s="65" t="inlineStr">
        <is>
          <t>Lisa Chen</t>
        </is>
      </c>
      <c r="L5" s="66" t="n">
        <v>46308</v>
      </c>
      <c r="M5" s="65" t="inlineStr">
        <is>
          <t>Open</t>
        </is>
      </c>
      <c r="N5" s="70" t="inlineStr">
        <is>
          <t>SAMPLE</t>
        </is>
      </c>
    </row>
    <row r="6" ht="28" customHeight="1">
      <c r="A6" s="65" t="inlineStr">
        <is>
          <t>MTG-002</t>
        </is>
      </c>
      <c r="B6" s="66" t="n">
        <v>46302</v>
      </c>
      <c r="C6" s="65" t="inlineStr">
        <is>
          <t>Network Infrastructure Upgrade</t>
        </is>
      </c>
      <c r="D6" s="65" t="inlineStr">
        <is>
          <t>Project Team</t>
        </is>
      </c>
      <c r="E6" s="65" t="inlineStr">
        <is>
          <t>Lisa Chen</t>
        </is>
      </c>
      <c r="F6" s="70" t="inlineStr">
        <is>
          <t>Lisa Chen, Tom Becker, Grace Alemu</t>
        </is>
      </c>
      <c r="G6" s="70" t="inlineStr">
        <is>
          <t>Installation progress, site access</t>
        </is>
      </c>
      <c r="H6" s="70" t="inlineStr">
        <is>
          <t>Installation 55% complete; site access delayed by facilities</t>
        </is>
      </c>
      <c r="I6" s="70" t="inlineStr">
        <is>
          <t>Daily access confirmation until installation completes</t>
        </is>
      </c>
      <c r="J6" s="70" t="inlineStr">
        <is>
          <t>Confirm access window with facilities</t>
        </is>
      </c>
      <c r="K6" s="65" t="inlineStr">
        <is>
          <t>Tom Becker</t>
        </is>
      </c>
      <c r="L6" s="66" t="n">
        <v>46304</v>
      </c>
      <c r="M6" s="65" t="inlineStr">
        <is>
          <t>In Progress</t>
        </is>
      </c>
      <c r="N6" s="70" t="inlineStr">
        <is>
          <t>SAMPLE</t>
        </is>
      </c>
    </row>
    <row r="7" ht="28" customHeight="1">
      <c r="A7" s="65" t="inlineStr">
        <is>
          <t>MTG-003</t>
        </is>
      </c>
      <c r="B7" s="66" t="n">
        <v>46303</v>
      </c>
      <c r="C7" s="65" t="inlineStr">
        <is>
          <t>HR Management System</t>
        </is>
      </c>
      <c r="D7" s="65" t="inlineStr">
        <is>
          <t>PMO Review</t>
        </is>
      </c>
      <c r="E7" s="65" t="inlineStr">
        <is>
          <t>Priya Raman</t>
        </is>
      </c>
      <c r="F7" s="70" t="inlineStr">
        <is>
          <t>Priya Raman, David Okoro, Grace Alemu</t>
        </is>
      </c>
      <c r="G7" s="70" t="inlineStr">
        <is>
          <t>Vendor shortlist, contract timeline</t>
        </is>
      </c>
      <c r="H7" s="70" t="inlineStr">
        <is>
          <t>Shortlist agreed; legal review booked; milestone M-012 overdue</t>
        </is>
      </c>
      <c r="I7" s="70" t="inlineStr">
        <is>
          <t>Re-baseline vendor milestone with steering committee</t>
        </is>
      </c>
      <c r="J7" s="70" t="inlineStr">
        <is>
          <t>Sign off vendor shortlist</t>
        </is>
      </c>
      <c r="K7" s="65" t="inlineStr">
        <is>
          <t>David Okoro</t>
        </is>
      </c>
      <c r="L7" s="66" t="n">
        <v>46305</v>
      </c>
      <c r="M7" s="65" t="inlineStr">
        <is>
          <t>Open</t>
        </is>
      </c>
      <c r="N7" s="70" t="inlineStr">
        <is>
          <t>SAMPLE</t>
        </is>
      </c>
    </row>
    <row r="8" ht="28" customHeight="1">
      <c r="A8" s="65" t="inlineStr">
        <is>
          <t>MTG-004</t>
        </is>
      </c>
      <c r="B8" s="66" t="n">
        <v>46296</v>
      </c>
      <c r="C8" s="65" t="inlineStr">
        <is>
          <t>ERP Implementation</t>
        </is>
      </c>
      <c r="D8" s="65" t="inlineStr">
        <is>
          <t>Vendor Review</t>
        </is>
      </c>
      <c r="E8" s="65" t="inlineStr">
        <is>
          <t>Ahmed Khan</t>
        </is>
      </c>
      <c r="F8" s="70" t="inlineStr">
        <is>
          <t>Ahmed Khan, Vendor A delivery manager</t>
        </is>
      </c>
      <c r="G8" s="70" t="inlineStr">
        <is>
          <t>Module delivery dates</t>
        </is>
      </c>
      <c r="H8" s="70" t="inlineStr">
        <is>
          <t>Vendor confirmed revised dates for modules 3 and 4</t>
        </is>
      </c>
      <c r="I8" s="70" t="inlineStr">
        <is>
          <t>Accept revised dates, hold go-live date</t>
        </is>
      </c>
      <c r="J8" s="70" t="inlineStr">
        <is>
          <t>Publish revised delivery plan</t>
        </is>
      </c>
      <c r="K8" s="65" t="inlineStr">
        <is>
          <t>Ahmed Khan</t>
        </is>
      </c>
      <c r="L8" s="66" t="n">
        <v>46303</v>
      </c>
      <c r="M8" s="65" t="inlineStr">
        <is>
          <t>Complete</t>
        </is>
      </c>
      <c r="N8" s="70" t="inlineStr">
        <is>
          <t>SAMPLE</t>
        </is>
      </c>
    </row>
    <row r="9" ht="28" customHeight="1">
      <c r="A9" s="65" t="n"/>
      <c r="B9" s="66" t="n"/>
      <c r="C9" s="65" t="n"/>
      <c r="D9" s="65" t="n"/>
      <c r="E9" s="65" t="n"/>
      <c r="F9" s="70" t="n"/>
      <c r="G9" s="70" t="n"/>
      <c r="H9" s="70" t="n"/>
      <c r="I9" s="70" t="n"/>
      <c r="J9" s="70" t="n"/>
      <c r="K9" s="65" t="n"/>
      <c r="L9" s="66" t="n"/>
      <c r="M9" s="65" t="n"/>
      <c r="N9" s="70" t="n"/>
    </row>
    <row r="10" ht="28" customHeight="1">
      <c r="A10" s="65" t="n"/>
      <c r="B10" s="66" t="n"/>
      <c r="C10" s="65" t="n"/>
      <c r="D10" s="65" t="n"/>
      <c r="E10" s="65" t="n"/>
      <c r="F10" s="70" t="n"/>
      <c r="G10" s="70" t="n"/>
      <c r="H10" s="70" t="n"/>
      <c r="I10" s="70" t="n"/>
      <c r="J10" s="70" t="n"/>
      <c r="K10" s="65" t="n"/>
      <c r="L10" s="66" t="n"/>
      <c r="M10" s="65" t="n"/>
      <c r="N10" s="70" t="n"/>
    </row>
    <row r="11" ht="28" customHeight="1">
      <c r="A11" s="65" t="n"/>
      <c r="B11" s="66" t="n"/>
      <c r="C11" s="65" t="n"/>
      <c r="D11" s="65" t="n"/>
      <c r="E11" s="65" t="n"/>
      <c r="F11" s="70" t="n"/>
      <c r="G11" s="70" t="n"/>
      <c r="H11" s="70" t="n"/>
      <c r="I11" s="70" t="n"/>
      <c r="J11" s="70" t="n"/>
      <c r="K11" s="65" t="n"/>
      <c r="L11" s="66" t="n"/>
      <c r="M11" s="65" t="n"/>
      <c r="N11" s="70" t="n"/>
    </row>
    <row r="12" ht="28" customHeight="1">
      <c r="A12" s="65" t="n"/>
      <c r="B12" s="66" t="n"/>
      <c r="C12" s="65" t="n"/>
      <c r="D12" s="65" t="n"/>
      <c r="E12" s="65" t="n"/>
      <c r="F12" s="70" t="n"/>
      <c r="G12" s="70" t="n"/>
      <c r="H12" s="70" t="n"/>
      <c r="I12" s="70" t="n"/>
      <c r="J12" s="70" t="n"/>
      <c r="K12" s="65" t="n"/>
      <c r="L12" s="66" t="n"/>
      <c r="M12" s="65" t="n"/>
      <c r="N12" s="70" t="n"/>
    </row>
    <row r="13" ht="28" customHeight="1">
      <c r="A13" s="65" t="n"/>
      <c r="B13" s="66" t="n"/>
      <c r="C13" s="65" t="n"/>
      <c r="D13" s="65" t="n"/>
      <c r="E13" s="65" t="n"/>
      <c r="F13" s="70" t="n"/>
      <c r="G13" s="70" t="n"/>
      <c r="H13" s="70" t="n"/>
      <c r="I13" s="70" t="n"/>
      <c r="J13" s="70" t="n"/>
      <c r="K13" s="65" t="n"/>
      <c r="L13" s="66" t="n"/>
      <c r="M13" s="65" t="n"/>
      <c r="N13" s="70" t="n"/>
    </row>
    <row r="14" ht="28" customHeight="1">
      <c r="A14" s="65" t="n"/>
      <c r="B14" s="66" t="n"/>
      <c r="C14" s="65" t="n"/>
      <c r="D14" s="65" t="n"/>
      <c r="E14" s="65" t="n"/>
      <c r="F14" s="70" t="n"/>
      <c r="G14" s="70" t="n"/>
      <c r="H14" s="70" t="n"/>
      <c r="I14" s="70" t="n"/>
      <c r="J14" s="70" t="n"/>
      <c r="K14" s="65" t="n"/>
      <c r="L14" s="66" t="n"/>
      <c r="M14" s="65" t="n"/>
      <c r="N14" s="70" t="n"/>
    </row>
    <row r="15" ht="28" customHeight="1">
      <c r="A15" s="65" t="n"/>
      <c r="B15" s="66" t="n"/>
      <c r="C15" s="65" t="n"/>
      <c r="D15" s="65" t="n"/>
      <c r="E15" s="65" t="n"/>
      <c r="F15" s="70" t="n"/>
      <c r="G15" s="70" t="n"/>
      <c r="H15" s="70" t="n"/>
      <c r="I15" s="70" t="n"/>
      <c r="J15" s="70" t="n"/>
      <c r="K15" s="65" t="n"/>
      <c r="L15" s="66" t="n"/>
      <c r="M15" s="65" t="n"/>
      <c r="N15" s="70" t="n"/>
    </row>
    <row r="16" ht="28" customHeight="1">
      <c r="A16" s="65" t="n"/>
      <c r="B16" s="66" t="n"/>
      <c r="C16" s="65" t="n"/>
      <c r="D16" s="65" t="n"/>
      <c r="E16" s="65" t="n"/>
      <c r="F16" s="70" t="n"/>
      <c r="G16" s="70" t="n"/>
      <c r="H16" s="70" t="n"/>
      <c r="I16" s="70" t="n"/>
      <c r="J16" s="70" t="n"/>
      <c r="K16" s="65" t="n"/>
      <c r="L16" s="66" t="n"/>
      <c r="M16" s="65" t="n"/>
      <c r="N16" s="70" t="n"/>
    </row>
    <row r="17" ht="28" customHeight="1">
      <c r="A17" s="65" t="n"/>
      <c r="B17" s="66" t="n"/>
      <c r="C17" s="65" t="n"/>
      <c r="D17" s="65" t="n"/>
      <c r="E17" s="65" t="n"/>
      <c r="F17" s="70" t="n"/>
      <c r="G17" s="70" t="n"/>
      <c r="H17" s="70" t="n"/>
      <c r="I17" s="70" t="n"/>
      <c r="J17" s="70" t="n"/>
      <c r="K17" s="65" t="n"/>
      <c r="L17" s="66" t="n"/>
      <c r="M17" s="65" t="n"/>
      <c r="N17" s="70" t="n"/>
    </row>
    <row r="18" ht="28" customHeight="1">
      <c r="A18" s="65" t="n"/>
      <c r="B18" s="66" t="n"/>
      <c r="C18" s="65" t="n"/>
      <c r="D18" s="65" t="n"/>
      <c r="E18" s="65" t="n"/>
      <c r="F18" s="70" t="n"/>
      <c r="G18" s="70" t="n"/>
      <c r="H18" s="70" t="n"/>
      <c r="I18" s="70" t="n"/>
      <c r="J18" s="70" t="n"/>
      <c r="K18" s="65" t="n"/>
      <c r="L18" s="66" t="n"/>
      <c r="M18" s="65" t="n"/>
      <c r="N18" s="70" t="n"/>
    </row>
    <row r="19" ht="28" customHeight="1">
      <c r="A19" s="65" t="n"/>
      <c r="B19" s="66" t="n"/>
      <c r="C19" s="65" t="n"/>
      <c r="D19" s="65" t="n"/>
      <c r="E19" s="65" t="n"/>
      <c r="F19" s="70" t="n"/>
      <c r="G19" s="70" t="n"/>
      <c r="H19" s="70" t="n"/>
      <c r="I19" s="70" t="n"/>
      <c r="J19" s="70" t="n"/>
      <c r="K19" s="65" t="n"/>
      <c r="L19" s="66" t="n"/>
      <c r="M19" s="65" t="n"/>
      <c r="N19" s="70" t="n"/>
    </row>
    <row r="20" ht="28" customHeight="1">
      <c r="A20" s="65" t="n"/>
      <c r="B20" s="66" t="n"/>
      <c r="C20" s="65" t="n"/>
      <c r="D20" s="65" t="n"/>
      <c r="E20" s="65" t="n"/>
      <c r="F20" s="70" t="n"/>
      <c r="G20" s="70" t="n"/>
      <c r="H20" s="70" t="n"/>
      <c r="I20" s="70" t="n"/>
      <c r="J20" s="70" t="n"/>
      <c r="K20" s="65" t="n"/>
      <c r="L20" s="66" t="n"/>
      <c r="M20" s="65" t="n"/>
      <c r="N20" s="70" t="n"/>
    </row>
    <row r="21" ht="28" customHeight="1">
      <c r="A21" s="65" t="n"/>
      <c r="B21" s="66" t="n"/>
      <c r="C21" s="65" t="n"/>
      <c r="D21" s="65" t="n"/>
      <c r="E21" s="65" t="n"/>
      <c r="F21" s="70" t="n"/>
      <c r="G21" s="70" t="n"/>
      <c r="H21" s="70" t="n"/>
      <c r="I21" s="70" t="n"/>
      <c r="J21" s="70" t="n"/>
      <c r="K21" s="65" t="n"/>
      <c r="L21" s="66" t="n"/>
      <c r="M21" s="65" t="n"/>
      <c r="N21" s="70" t="n"/>
    </row>
    <row r="22" ht="28" customHeight="1">
      <c r="A22" s="65" t="n"/>
      <c r="B22" s="66" t="n"/>
      <c r="C22" s="65" t="n"/>
      <c r="D22" s="65" t="n"/>
      <c r="E22" s="65" t="n"/>
      <c r="F22" s="70" t="n"/>
      <c r="G22" s="70" t="n"/>
      <c r="H22" s="70" t="n"/>
      <c r="I22" s="70" t="n"/>
      <c r="J22" s="70" t="n"/>
      <c r="K22" s="65" t="n"/>
      <c r="L22" s="66" t="n"/>
      <c r="M22" s="65" t="n"/>
      <c r="N22" s="70" t="n"/>
    </row>
    <row r="23" ht="28" customHeight="1">
      <c r="A23" s="65" t="n"/>
      <c r="B23" s="66" t="n"/>
      <c r="C23" s="65" t="n"/>
      <c r="D23" s="65" t="n"/>
      <c r="E23" s="65" t="n"/>
      <c r="F23" s="70" t="n"/>
      <c r="G23" s="70" t="n"/>
      <c r="H23" s="70" t="n"/>
      <c r="I23" s="70" t="n"/>
      <c r="J23" s="70" t="n"/>
      <c r="K23" s="65" t="n"/>
      <c r="L23" s="66" t="n"/>
      <c r="M23" s="65" t="n"/>
      <c r="N23" s="70" t="n"/>
    </row>
    <row r="24" ht="28" customHeight="1">
      <c r="A24" s="65" t="n"/>
      <c r="B24" s="66" t="n"/>
      <c r="C24" s="65" t="n"/>
      <c r="D24" s="65" t="n"/>
      <c r="E24" s="65" t="n"/>
      <c r="F24" s="70" t="n"/>
      <c r="G24" s="70" t="n"/>
      <c r="H24" s="70" t="n"/>
      <c r="I24" s="70" t="n"/>
      <c r="J24" s="70" t="n"/>
      <c r="K24" s="65" t="n"/>
      <c r="L24" s="66" t="n"/>
      <c r="M24" s="65" t="n"/>
      <c r="N24" s="70" t="n"/>
    </row>
    <row r="25" ht="28" customHeight="1">
      <c r="A25" s="65" t="n"/>
      <c r="B25" s="66" t="n"/>
      <c r="C25" s="65" t="n"/>
      <c r="D25" s="65" t="n"/>
      <c r="E25" s="65" t="n"/>
      <c r="F25" s="70" t="n"/>
      <c r="G25" s="70" t="n"/>
      <c r="H25" s="70" t="n"/>
      <c r="I25" s="70" t="n"/>
      <c r="J25" s="70" t="n"/>
      <c r="K25" s="65" t="n"/>
      <c r="L25" s="66" t="n"/>
      <c r="M25" s="65" t="n"/>
      <c r="N25" s="70" t="n"/>
    </row>
    <row r="26" ht="28" customHeight="1">
      <c r="A26" s="65" t="n"/>
      <c r="B26" s="66" t="n"/>
      <c r="C26" s="65" t="n"/>
      <c r="D26" s="65" t="n"/>
      <c r="E26" s="65" t="n"/>
      <c r="F26" s="70" t="n"/>
      <c r="G26" s="70" t="n"/>
      <c r="H26" s="70" t="n"/>
      <c r="I26" s="70" t="n"/>
      <c r="J26" s="70" t="n"/>
      <c r="K26" s="65" t="n"/>
      <c r="L26" s="66" t="n"/>
      <c r="M26" s="65" t="n"/>
      <c r="N26" s="70" t="n"/>
    </row>
    <row r="27" ht="28" customHeight="1">
      <c r="A27" s="65" t="n"/>
      <c r="B27" s="66" t="n"/>
      <c r="C27" s="65" t="n"/>
      <c r="D27" s="65" t="n"/>
      <c r="E27" s="65" t="n"/>
      <c r="F27" s="70" t="n"/>
      <c r="G27" s="70" t="n"/>
      <c r="H27" s="70" t="n"/>
      <c r="I27" s="70" t="n"/>
      <c r="J27" s="70" t="n"/>
      <c r="K27" s="65" t="n"/>
      <c r="L27" s="66" t="n"/>
      <c r="M27" s="65" t="n"/>
      <c r="N27" s="70" t="n"/>
    </row>
    <row r="28" ht="28" customHeight="1">
      <c r="A28" s="65" t="n"/>
      <c r="B28" s="66" t="n"/>
      <c r="C28" s="65" t="n"/>
      <c r="D28" s="65" t="n"/>
      <c r="E28" s="65" t="n"/>
      <c r="F28" s="70" t="n"/>
      <c r="G28" s="70" t="n"/>
      <c r="H28" s="70" t="n"/>
      <c r="I28" s="70" t="n"/>
      <c r="J28" s="70" t="n"/>
      <c r="K28" s="65" t="n"/>
      <c r="L28" s="66" t="n"/>
      <c r="M28" s="65" t="n"/>
      <c r="N28" s="70" t="n"/>
    </row>
    <row r="29" ht="28" customHeight="1">
      <c r="A29" s="65" t="n"/>
      <c r="B29" s="66" t="n"/>
      <c r="C29" s="65" t="n"/>
      <c r="D29" s="65" t="n"/>
      <c r="E29" s="65" t="n"/>
      <c r="F29" s="70" t="n"/>
      <c r="G29" s="70" t="n"/>
      <c r="H29" s="70" t="n"/>
      <c r="I29" s="70" t="n"/>
      <c r="J29" s="70" t="n"/>
      <c r="K29" s="65" t="n"/>
      <c r="L29" s="66" t="n"/>
      <c r="M29" s="65" t="n"/>
      <c r="N29" s="70" t="n"/>
    </row>
    <row r="30" ht="28" customHeight="1">
      <c r="A30" s="65" t="n"/>
      <c r="B30" s="66" t="n"/>
      <c r="C30" s="65" t="n"/>
      <c r="D30" s="65" t="n"/>
      <c r="E30" s="65" t="n"/>
      <c r="F30" s="70" t="n"/>
      <c r="G30" s="70" t="n"/>
      <c r="H30" s="70" t="n"/>
      <c r="I30" s="70" t="n"/>
      <c r="J30" s="70" t="n"/>
      <c r="K30" s="65" t="n"/>
      <c r="L30" s="66" t="n"/>
      <c r="M30" s="65" t="n"/>
      <c r="N30" s="70" t="n"/>
    </row>
    <row r="31" ht="28" customHeight="1">
      <c r="A31" s="65" t="n"/>
      <c r="B31" s="66" t="n"/>
      <c r="C31" s="65" t="n"/>
      <c r="D31" s="65" t="n"/>
      <c r="E31" s="65" t="n"/>
      <c r="F31" s="70" t="n"/>
      <c r="G31" s="70" t="n"/>
      <c r="H31" s="70" t="n"/>
      <c r="I31" s="70" t="n"/>
      <c r="J31" s="70" t="n"/>
      <c r="K31" s="65" t="n"/>
      <c r="L31" s="66" t="n"/>
      <c r="M31" s="65" t="n"/>
      <c r="N31" s="70" t="n"/>
    </row>
    <row r="32" ht="28" customHeight="1">
      <c r="A32" s="65" t="n"/>
      <c r="B32" s="66" t="n"/>
      <c r="C32" s="65" t="n"/>
      <c r="D32" s="65" t="n"/>
      <c r="E32" s="65" t="n"/>
      <c r="F32" s="70" t="n"/>
      <c r="G32" s="70" t="n"/>
      <c r="H32" s="70" t="n"/>
      <c r="I32" s="70" t="n"/>
      <c r="J32" s="70" t="n"/>
      <c r="K32" s="65" t="n"/>
      <c r="L32" s="66" t="n"/>
      <c r="M32" s="65" t="n"/>
      <c r="N32" s="70" t="n"/>
    </row>
    <row r="33" ht="28" customHeight="1">
      <c r="A33" s="65" t="n"/>
      <c r="B33" s="66" t="n"/>
      <c r="C33" s="65" t="n"/>
      <c r="D33" s="65" t="n"/>
      <c r="E33" s="65" t="n"/>
      <c r="F33" s="70" t="n"/>
      <c r="G33" s="70" t="n"/>
      <c r="H33" s="70" t="n"/>
      <c r="I33" s="70" t="n"/>
      <c r="J33" s="70" t="n"/>
      <c r="K33" s="65" t="n"/>
      <c r="L33" s="66" t="n"/>
      <c r="M33" s="65" t="n"/>
      <c r="N33" s="70" t="n"/>
    </row>
    <row r="34" ht="28" customHeight="1">
      <c r="A34" s="65" t="n"/>
      <c r="B34" s="66" t="n"/>
      <c r="C34" s="65" t="n"/>
      <c r="D34" s="65" t="n"/>
      <c r="E34" s="65" t="n"/>
      <c r="F34" s="70" t="n"/>
      <c r="G34" s="70" t="n"/>
      <c r="H34" s="70" t="n"/>
      <c r="I34" s="70" t="n"/>
      <c r="J34" s="70" t="n"/>
      <c r="K34" s="65" t="n"/>
      <c r="L34" s="66" t="n"/>
      <c r="M34" s="65" t="n"/>
      <c r="N34" s="70" t="n"/>
    </row>
  </sheetData>
  <mergeCells count="3">
    <mergeCell ref="A3:N3"/>
    <mergeCell ref="A2:N2"/>
    <mergeCell ref="A1:N1"/>
  </mergeCells>
  <conditionalFormatting sqref="M5:M34">
    <cfRule type="expression" priority="1" dxfId="8" stopIfTrue="1">
      <formula>EXACT($M5,"Open")</formula>
    </cfRule>
    <cfRule type="expression" priority="2" dxfId="4" stopIfTrue="1">
      <formula>EXACT($M5,"In Progress")</formula>
    </cfRule>
    <cfRule type="expression" priority="3" dxfId="3" stopIfTrue="1">
      <formula>EXACT($M5,"Complete")</formula>
    </cfRule>
    <cfRule type="expression" priority="4" dxfId="8" stopIfTrue="1">
      <formula>EXACT($M5,"Cancelled")</formula>
    </cfRule>
  </conditionalFormatting>
  <conditionalFormatting sqref="A5:A34">
    <cfRule type="expression" priority="5" dxfId="5" stopIfTrue="0">
      <formula>AND($A5&lt;&gt;"",COUNTIF($A$5:$A$34,$A5)&gt;1)</formula>
    </cfRule>
  </conditionalFormatting>
  <conditionalFormatting sqref="E5:E34">
    <cfRule type="expression" priority="6" dxfId="4" stopIfTrue="0">
      <formula>AND($A5&lt;&gt;"",E5="")</formula>
    </cfRule>
  </conditionalFormatting>
  <conditionalFormatting sqref="L5:L34">
    <cfRule type="expression" priority="7" dxfId="4" stopIfTrue="0">
      <formula>AND($A5&lt;&gt;"",L5="")</formula>
    </cfRule>
  </conditionalFormatting>
  <dataValidations count="5">
    <dataValidation sqref="C5:C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D5:D34" showDropDown="0" showInputMessage="1" showErrorMessage="1" allowBlank="1" errorTitle="Value not allowed" error="Pick a value from the drop-down list (L_MeetingType)." promptTitle="Select" prompt="Choose a value from the drop-down list." type="list" errorStyle="stop">
      <formula1>L_MeetingType</formula1>
    </dataValidation>
    <dataValidation sqref="E5:E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K5:K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M5:M34" showDropDown="0" showInputMessage="1" showErrorMessage="1" allowBlank="1" errorTitle="Value not allowed" error="Pick a value from the drop-down list (L_ActionStatus)." promptTitle="Select" prompt="Choose a value from the drop-down list." type="list" errorStyle="stop">
      <formula1>L_ActionStatus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N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34" customWidth="1" min="4" max="4"/>
    <col width="34" customWidth="1" min="5" max="5"/>
    <col width="30" customWidth="1" min="6" max="6"/>
    <col width="30" customWidth="1" min="7" max="7"/>
    <col width="18" customWidth="1" min="8" max="8"/>
    <col width="26" customWidth="1" min="9" max="9"/>
    <col width="18" customWidth="1" min="10" max="10"/>
    <col width="12" customWidth="1" min="11" max="11"/>
    <col width="14" customWidth="1" min="12" max="12"/>
    <col width="22" customWidth="1" min="13" max="13"/>
    <col width="11" customWidth="1" min="14" max="14"/>
  </cols>
  <sheetData>
    <row r="1" ht="32" customHeight="1">
      <c r="A1" s="1" t="inlineStr">
        <is>
          <t>DECISION LOG</t>
        </is>
      </c>
    </row>
    <row r="2" ht="17" customHeight="1">
      <c r="A2" s="2" t="inlineStr">
        <is>
          <t>Management decisions with options, recommendation, decision maker and follow-up. Pending decisions appear on the executive dashboard.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Decision ID</t>
        </is>
      </c>
      <c r="B4" s="64" t="inlineStr">
        <is>
          <t>Project</t>
        </is>
      </c>
      <c r="C4" s="64" t="inlineStr">
        <is>
          <t>Decision Date</t>
        </is>
      </c>
      <c r="D4" s="64" t="inlineStr">
        <is>
          <t>Decision Required</t>
        </is>
      </c>
      <c r="E4" s="64" t="inlineStr">
        <is>
          <t>Options</t>
        </is>
      </c>
      <c r="F4" s="64" t="inlineStr">
        <is>
          <t>Recommendation</t>
        </is>
      </c>
      <c r="G4" s="64" t="inlineStr">
        <is>
          <t>Decision</t>
        </is>
      </c>
      <c r="H4" s="64" t="inlineStr">
        <is>
          <t>Decision Maker</t>
        </is>
      </c>
      <c r="I4" s="64" t="inlineStr">
        <is>
          <t>Impact</t>
        </is>
      </c>
      <c r="J4" s="64" t="inlineStr">
        <is>
          <t>Follow-up Owner</t>
        </is>
      </c>
      <c r="K4" s="64" t="inlineStr">
        <is>
          <t>Due Date</t>
        </is>
      </c>
      <c r="L4" s="64" t="inlineStr">
        <is>
          <t>Status</t>
        </is>
      </c>
      <c r="M4" s="64" t="inlineStr">
        <is>
          <t>Notes</t>
        </is>
      </c>
      <c r="N4" s="64" t="inlineStr">
        <is>
          <t>PendingRank</t>
        </is>
      </c>
    </row>
    <row r="5" ht="28" customHeight="1">
      <c r="A5" s="65" t="inlineStr">
        <is>
          <t>DEC-001</t>
        </is>
      </c>
      <c r="B5" s="65" t="inlineStr">
        <is>
          <t>ERP Implementation</t>
        </is>
      </c>
      <c r="C5" s="66" t="n">
        <v>46301</v>
      </c>
      <c r="D5" s="70" t="inlineStr">
        <is>
          <t>Approve revised module delivery plan</t>
        </is>
      </c>
      <c r="E5" s="70" t="inlineStr">
        <is>
          <t>A) Accept vendor dates  B) Re-tender module  C) Descope module 4</t>
        </is>
      </c>
      <c r="F5" s="70" t="inlineStr">
        <is>
          <t>Accept vendor dates with weekly checkpoints</t>
        </is>
      </c>
      <c r="G5" s="70" t="inlineStr"/>
      <c r="H5" s="65" t="inlineStr">
        <is>
          <t>Sarah Mitchell</t>
        </is>
      </c>
      <c r="I5" s="70" t="inlineStr">
        <is>
          <t>Go-live date protected</t>
        </is>
      </c>
      <c r="J5" s="65" t="inlineStr">
        <is>
          <t>Ahmed Khan</t>
        </is>
      </c>
      <c r="K5" s="66" t="n">
        <v>46308</v>
      </c>
      <c r="L5" s="65" t="inlineStr">
        <is>
          <t>Pending</t>
        </is>
      </c>
      <c r="M5" s="70" t="inlineStr">
        <is>
          <t>SAMPLE</t>
        </is>
      </c>
      <c r="N5" s="69">
        <f>IF(OR(A5="",L5&lt;&gt;"Pending"),"",COUNTIF(L$5:L$34,"Pending")-COUNTIF(L$5:L5,"Pending")+1)</f>
        <v/>
      </c>
    </row>
    <row r="6" ht="28" customHeight="1">
      <c r="A6" s="65" t="inlineStr">
        <is>
          <t>DEC-002</t>
        </is>
      </c>
      <c r="B6" s="65" t="inlineStr">
        <is>
          <t>HR Management System</t>
        </is>
      </c>
      <c r="C6" s="66" t="n">
        <v>46303</v>
      </c>
      <c r="D6" s="70" t="inlineStr">
        <is>
          <t>Select HR system vendor</t>
        </is>
      </c>
      <c r="E6" s="70" t="inlineStr">
        <is>
          <t>A) Vendor D  B) Vendor G  C) Build in-house</t>
        </is>
      </c>
      <c r="F6" s="70" t="inlineStr">
        <is>
          <t>Vendor D - best fit, references verified</t>
        </is>
      </c>
      <c r="G6" s="70" t="inlineStr"/>
      <c r="H6" s="65" t="inlineStr">
        <is>
          <t>HR Director</t>
        </is>
      </c>
      <c r="I6" s="70" t="inlineStr">
        <is>
          <t>Contract value 300,000</t>
        </is>
      </c>
      <c r="J6" s="65" t="inlineStr">
        <is>
          <t>David Okoro</t>
        </is>
      </c>
      <c r="K6" s="66" t="n">
        <v>46310</v>
      </c>
      <c r="L6" s="65" t="inlineStr">
        <is>
          <t>Pending</t>
        </is>
      </c>
      <c r="M6" s="70" t="inlineStr">
        <is>
          <t>SAMPLE</t>
        </is>
      </c>
      <c r="N6" s="69">
        <f>IF(OR(A6="",L6&lt;&gt;"Pending"),"",COUNTIF(L$5:L$34,"Pending")-COUNTIF(L$5:L6,"Pending")+1)</f>
        <v/>
      </c>
    </row>
    <row r="7" ht="28" customHeight="1">
      <c r="A7" s="65" t="inlineStr">
        <is>
          <t>DEC-003</t>
        </is>
      </c>
      <c r="B7" s="65" t="inlineStr">
        <is>
          <t>ERP Implementation</t>
        </is>
      </c>
      <c r="C7" s="66" t="n">
        <v>46290</v>
      </c>
      <c r="D7" s="70" t="inlineStr">
        <is>
          <t>Approve data migration approach</t>
        </is>
      </c>
      <c r="E7" s="70" t="inlineStr">
        <is>
          <t>A) Single run  B) Phased by entity</t>
        </is>
      </c>
      <c r="F7" s="70" t="inlineStr">
        <is>
          <t>Phased migration by legal entity</t>
        </is>
      </c>
      <c r="G7" s="70" t="inlineStr">
        <is>
          <t>Use phased migration</t>
        </is>
      </c>
      <c r="H7" s="65" t="inlineStr">
        <is>
          <t>Sarah Mitchell</t>
        </is>
      </c>
      <c r="I7" s="70" t="inlineStr">
        <is>
          <t>Adds 5 days, lowers risk</t>
        </is>
      </c>
      <c r="J7" s="65" t="inlineStr">
        <is>
          <t>David Okoro</t>
        </is>
      </c>
      <c r="K7" s="66" t="n">
        <v>46326</v>
      </c>
      <c r="L7" s="65" t="inlineStr">
        <is>
          <t>Decided</t>
        </is>
      </c>
      <c r="M7" s="70" t="inlineStr">
        <is>
          <t>SAMPLE</t>
        </is>
      </c>
      <c r="N7" s="69">
        <f>IF(OR(A7="",L7&lt;&gt;"Pending"),"",COUNTIF(L$5:L$34,"Pending")-COUNTIF(L$5:L7,"Pending")+1)</f>
        <v/>
      </c>
    </row>
    <row r="8" ht="28" customHeight="1">
      <c r="A8" s="65" t="inlineStr">
        <is>
          <t>DEC-004</t>
        </is>
      </c>
      <c r="B8" s="65" t="inlineStr">
        <is>
          <t>Network Infrastructure Upgrade</t>
        </is>
      </c>
      <c r="C8" s="66" t="n">
        <v>46283</v>
      </c>
      <c r="D8" s="70" t="inlineStr">
        <is>
          <t>Approve additional switches</t>
        </is>
      </c>
      <c r="E8" s="70" t="inlineStr">
        <is>
          <t>A) Approve  B) Reject</t>
        </is>
      </c>
      <c r="F8" s="70" t="inlineStr">
        <is>
          <t>Approve - required for two extra floors</t>
        </is>
      </c>
      <c r="G8" s="70" t="inlineStr">
        <is>
          <t>Approve CR-002</t>
        </is>
      </c>
      <c r="H8" s="65" t="inlineStr">
        <is>
          <t>Priya Raman</t>
        </is>
      </c>
      <c r="I8" s="70" t="inlineStr">
        <is>
          <t>15,000 additional cost</t>
        </is>
      </c>
      <c r="J8" s="65" t="inlineStr">
        <is>
          <t>Lisa Chen</t>
        </is>
      </c>
      <c r="K8" s="66" t="n">
        <v>46290</v>
      </c>
      <c r="L8" s="65" t="inlineStr">
        <is>
          <t>Decided</t>
        </is>
      </c>
      <c r="M8" s="70" t="inlineStr">
        <is>
          <t>SAMPLE</t>
        </is>
      </c>
      <c r="N8" s="69">
        <f>IF(OR(A8="",L8&lt;&gt;"Pending"),"",COUNTIF(L$5:L$34,"Pending")-COUNTIF(L$5:L8,"Pending")+1)</f>
        <v/>
      </c>
    </row>
    <row r="9" ht="28" customHeight="1">
      <c r="A9" s="65" t="inlineStr">
        <is>
          <t>DEC-005</t>
        </is>
      </c>
      <c r="B9" s="65" t="inlineStr">
        <is>
          <t>Website Development</t>
        </is>
      </c>
      <c r="C9" s="66" t="n">
        <v>46294</v>
      </c>
      <c r="D9" s="70" t="inlineStr">
        <is>
          <t>Whether to add e-commerce checkout</t>
        </is>
      </c>
      <c r="E9" s="70" t="inlineStr">
        <is>
          <t>A) Add now  B) Phase 2</t>
        </is>
      </c>
      <c r="F9" s="70" t="inlineStr">
        <is>
          <t>Phase 2 - out of scope for launch</t>
        </is>
      </c>
      <c r="G9" s="70" t="inlineStr">
        <is>
          <t>Defer to phase 2</t>
        </is>
      </c>
      <c r="H9" s="65" t="inlineStr">
        <is>
          <t>Marketing Director</t>
        </is>
      </c>
      <c r="I9" s="70" t="inlineStr">
        <is>
          <t>No change to launch date</t>
        </is>
      </c>
      <c r="J9" s="65" t="inlineStr">
        <is>
          <t>Maria Silva</t>
        </is>
      </c>
      <c r="K9" s="66" t="n">
        <v>46356</v>
      </c>
      <c r="L9" s="65" t="inlineStr">
        <is>
          <t>Deferred</t>
        </is>
      </c>
      <c r="M9" s="70" t="inlineStr">
        <is>
          <t>SAMPLE</t>
        </is>
      </c>
      <c r="N9" s="69">
        <f>IF(OR(A9="",L9&lt;&gt;"Pending"),"",COUNTIF(L$5:L$34,"Pending")-COUNTIF(L$5:L9,"Pending")+1)</f>
        <v/>
      </c>
    </row>
    <row r="10" ht="28" customHeight="1">
      <c r="A10" s="65" t="inlineStr">
        <is>
          <t>DEC-006</t>
        </is>
      </c>
      <c r="B10" s="65" t="inlineStr">
        <is>
          <t>Office Security Upgrade</t>
        </is>
      </c>
      <c r="C10" s="66" t="n">
        <v>46297</v>
      </c>
      <c r="D10" s="70" t="inlineStr">
        <is>
          <t>Choose CCTV supplier</t>
        </is>
      </c>
      <c r="E10" s="70" t="inlineStr">
        <is>
          <t>A) Vendor E  B) Vendor H</t>
        </is>
      </c>
      <c r="F10" s="70" t="inlineStr">
        <is>
          <t>Vendor E - better warranty</t>
        </is>
      </c>
      <c r="G10" s="70" t="inlineStr">
        <is>
          <t>Select Vendor E</t>
        </is>
      </c>
      <c r="H10" s="65" t="inlineStr">
        <is>
          <t>Tom Becker</t>
        </is>
      </c>
      <c r="I10" s="70" t="inlineStr">
        <is>
          <t>Camera quality and warranty</t>
        </is>
      </c>
      <c r="J10" s="65" t="inlineStr">
        <is>
          <t>Tom Becker</t>
        </is>
      </c>
      <c r="K10" s="66" t="n">
        <v>46305</v>
      </c>
      <c r="L10" s="65" t="inlineStr">
        <is>
          <t>Decided</t>
        </is>
      </c>
      <c r="M10" s="70" t="inlineStr">
        <is>
          <t>SAMPLE</t>
        </is>
      </c>
      <c r="N10" s="69">
        <f>IF(OR(A10="",L10&lt;&gt;"Pending"),"",COUNTIF(L$5:L$34,"Pending")-COUNTIF(L$5:L10,"Pending")+1)</f>
        <v/>
      </c>
    </row>
    <row r="11" ht="28" customHeight="1">
      <c r="A11" s="65" t="n"/>
      <c r="B11" s="65" t="n"/>
      <c r="C11" s="66" t="n"/>
      <c r="D11" s="70" t="n"/>
      <c r="E11" s="70" t="n"/>
      <c r="F11" s="70" t="n"/>
      <c r="G11" s="70" t="n"/>
      <c r="H11" s="65" t="n"/>
      <c r="I11" s="70" t="n"/>
      <c r="J11" s="65" t="n"/>
      <c r="K11" s="66" t="n"/>
      <c r="L11" s="65" t="n"/>
      <c r="M11" s="70" t="n"/>
      <c r="N11" s="69">
        <f>IF(OR(A11="",L11&lt;&gt;"Pending"),"",COUNTIF(L$5:L$34,"Pending")-COUNTIF(L$5:L11,"Pending")+1)</f>
        <v/>
      </c>
    </row>
    <row r="12" ht="28" customHeight="1">
      <c r="A12" s="65" t="n"/>
      <c r="B12" s="65" t="n"/>
      <c r="C12" s="66" t="n"/>
      <c r="D12" s="70" t="n"/>
      <c r="E12" s="70" t="n"/>
      <c r="F12" s="70" t="n"/>
      <c r="G12" s="70" t="n"/>
      <c r="H12" s="65" t="n"/>
      <c r="I12" s="70" t="n"/>
      <c r="J12" s="65" t="n"/>
      <c r="K12" s="66" t="n"/>
      <c r="L12" s="65" t="n"/>
      <c r="M12" s="70" t="n"/>
      <c r="N12" s="69">
        <f>IF(OR(A12="",L12&lt;&gt;"Pending"),"",COUNTIF(L$5:L$34,"Pending")-COUNTIF(L$5:L12,"Pending")+1)</f>
        <v/>
      </c>
    </row>
    <row r="13" ht="28" customHeight="1">
      <c r="A13" s="65" t="n"/>
      <c r="B13" s="65" t="n"/>
      <c r="C13" s="66" t="n"/>
      <c r="D13" s="70" t="n"/>
      <c r="E13" s="70" t="n"/>
      <c r="F13" s="70" t="n"/>
      <c r="G13" s="70" t="n"/>
      <c r="H13" s="65" t="n"/>
      <c r="I13" s="70" t="n"/>
      <c r="J13" s="65" t="n"/>
      <c r="K13" s="66" t="n"/>
      <c r="L13" s="65" t="n"/>
      <c r="M13" s="70" t="n"/>
      <c r="N13" s="69">
        <f>IF(OR(A13="",L13&lt;&gt;"Pending"),"",COUNTIF(L$5:L$34,"Pending")-COUNTIF(L$5:L13,"Pending")+1)</f>
        <v/>
      </c>
    </row>
    <row r="14" ht="28" customHeight="1">
      <c r="A14" s="65" t="n"/>
      <c r="B14" s="65" t="n"/>
      <c r="C14" s="66" t="n"/>
      <c r="D14" s="70" t="n"/>
      <c r="E14" s="70" t="n"/>
      <c r="F14" s="70" t="n"/>
      <c r="G14" s="70" t="n"/>
      <c r="H14" s="65" t="n"/>
      <c r="I14" s="70" t="n"/>
      <c r="J14" s="65" t="n"/>
      <c r="K14" s="66" t="n"/>
      <c r="L14" s="65" t="n"/>
      <c r="M14" s="70" t="n"/>
      <c r="N14" s="69">
        <f>IF(OR(A14="",L14&lt;&gt;"Pending"),"",COUNTIF(L$5:L$34,"Pending")-COUNTIF(L$5:L14,"Pending")+1)</f>
        <v/>
      </c>
    </row>
    <row r="15" ht="28" customHeight="1">
      <c r="A15" s="65" t="n"/>
      <c r="B15" s="65" t="n"/>
      <c r="C15" s="66" t="n"/>
      <c r="D15" s="70" t="n"/>
      <c r="E15" s="70" t="n"/>
      <c r="F15" s="70" t="n"/>
      <c r="G15" s="70" t="n"/>
      <c r="H15" s="65" t="n"/>
      <c r="I15" s="70" t="n"/>
      <c r="J15" s="65" t="n"/>
      <c r="K15" s="66" t="n"/>
      <c r="L15" s="65" t="n"/>
      <c r="M15" s="70" t="n"/>
      <c r="N15" s="69">
        <f>IF(OR(A15="",L15&lt;&gt;"Pending"),"",COUNTIF(L$5:L$34,"Pending")-COUNTIF(L$5:L15,"Pending")+1)</f>
        <v/>
      </c>
    </row>
    <row r="16" ht="28" customHeight="1">
      <c r="A16" s="65" t="n"/>
      <c r="B16" s="65" t="n"/>
      <c r="C16" s="66" t="n"/>
      <c r="D16" s="70" t="n"/>
      <c r="E16" s="70" t="n"/>
      <c r="F16" s="70" t="n"/>
      <c r="G16" s="70" t="n"/>
      <c r="H16" s="65" t="n"/>
      <c r="I16" s="70" t="n"/>
      <c r="J16" s="65" t="n"/>
      <c r="K16" s="66" t="n"/>
      <c r="L16" s="65" t="n"/>
      <c r="M16" s="70" t="n"/>
      <c r="N16" s="69">
        <f>IF(OR(A16="",L16&lt;&gt;"Pending"),"",COUNTIF(L$5:L$34,"Pending")-COUNTIF(L$5:L16,"Pending")+1)</f>
        <v/>
      </c>
    </row>
    <row r="17" ht="28" customHeight="1">
      <c r="A17" s="65" t="n"/>
      <c r="B17" s="65" t="n"/>
      <c r="C17" s="66" t="n"/>
      <c r="D17" s="70" t="n"/>
      <c r="E17" s="70" t="n"/>
      <c r="F17" s="70" t="n"/>
      <c r="G17" s="70" t="n"/>
      <c r="H17" s="65" t="n"/>
      <c r="I17" s="70" t="n"/>
      <c r="J17" s="65" t="n"/>
      <c r="K17" s="66" t="n"/>
      <c r="L17" s="65" t="n"/>
      <c r="M17" s="70" t="n"/>
      <c r="N17" s="69">
        <f>IF(OR(A17="",L17&lt;&gt;"Pending"),"",COUNTIF(L$5:L$34,"Pending")-COUNTIF(L$5:L17,"Pending")+1)</f>
        <v/>
      </c>
    </row>
    <row r="18" ht="28" customHeight="1">
      <c r="A18" s="65" t="n"/>
      <c r="B18" s="65" t="n"/>
      <c r="C18" s="66" t="n"/>
      <c r="D18" s="70" t="n"/>
      <c r="E18" s="70" t="n"/>
      <c r="F18" s="70" t="n"/>
      <c r="G18" s="70" t="n"/>
      <c r="H18" s="65" t="n"/>
      <c r="I18" s="70" t="n"/>
      <c r="J18" s="65" t="n"/>
      <c r="K18" s="66" t="n"/>
      <c r="L18" s="65" t="n"/>
      <c r="M18" s="70" t="n"/>
      <c r="N18" s="69">
        <f>IF(OR(A18="",L18&lt;&gt;"Pending"),"",COUNTIF(L$5:L$34,"Pending")-COUNTIF(L$5:L18,"Pending")+1)</f>
        <v/>
      </c>
    </row>
    <row r="19" ht="28" customHeight="1">
      <c r="A19" s="65" t="n"/>
      <c r="B19" s="65" t="n"/>
      <c r="C19" s="66" t="n"/>
      <c r="D19" s="70" t="n"/>
      <c r="E19" s="70" t="n"/>
      <c r="F19" s="70" t="n"/>
      <c r="G19" s="70" t="n"/>
      <c r="H19" s="65" t="n"/>
      <c r="I19" s="70" t="n"/>
      <c r="J19" s="65" t="n"/>
      <c r="K19" s="66" t="n"/>
      <c r="L19" s="65" t="n"/>
      <c r="M19" s="70" t="n"/>
      <c r="N19" s="69">
        <f>IF(OR(A19="",L19&lt;&gt;"Pending"),"",COUNTIF(L$5:L$34,"Pending")-COUNTIF(L$5:L19,"Pending")+1)</f>
        <v/>
      </c>
    </row>
    <row r="20" ht="28" customHeight="1">
      <c r="A20" s="65" t="n"/>
      <c r="B20" s="65" t="n"/>
      <c r="C20" s="66" t="n"/>
      <c r="D20" s="70" t="n"/>
      <c r="E20" s="70" t="n"/>
      <c r="F20" s="70" t="n"/>
      <c r="G20" s="70" t="n"/>
      <c r="H20" s="65" t="n"/>
      <c r="I20" s="70" t="n"/>
      <c r="J20" s="65" t="n"/>
      <c r="K20" s="66" t="n"/>
      <c r="L20" s="65" t="n"/>
      <c r="M20" s="70" t="n"/>
      <c r="N20" s="69">
        <f>IF(OR(A20="",L20&lt;&gt;"Pending"),"",COUNTIF(L$5:L$34,"Pending")-COUNTIF(L$5:L20,"Pending")+1)</f>
        <v/>
      </c>
    </row>
    <row r="21" ht="28" customHeight="1">
      <c r="A21" s="65" t="n"/>
      <c r="B21" s="65" t="n"/>
      <c r="C21" s="66" t="n"/>
      <c r="D21" s="70" t="n"/>
      <c r="E21" s="70" t="n"/>
      <c r="F21" s="70" t="n"/>
      <c r="G21" s="70" t="n"/>
      <c r="H21" s="65" t="n"/>
      <c r="I21" s="70" t="n"/>
      <c r="J21" s="65" t="n"/>
      <c r="K21" s="66" t="n"/>
      <c r="L21" s="65" t="n"/>
      <c r="M21" s="70" t="n"/>
      <c r="N21" s="69">
        <f>IF(OR(A21="",L21&lt;&gt;"Pending"),"",COUNTIF(L$5:L$34,"Pending")-COUNTIF(L$5:L21,"Pending")+1)</f>
        <v/>
      </c>
    </row>
    <row r="22" ht="28" customHeight="1">
      <c r="A22" s="65" t="n"/>
      <c r="B22" s="65" t="n"/>
      <c r="C22" s="66" t="n"/>
      <c r="D22" s="70" t="n"/>
      <c r="E22" s="70" t="n"/>
      <c r="F22" s="70" t="n"/>
      <c r="G22" s="70" t="n"/>
      <c r="H22" s="65" t="n"/>
      <c r="I22" s="70" t="n"/>
      <c r="J22" s="65" t="n"/>
      <c r="K22" s="66" t="n"/>
      <c r="L22" s="65" t="n"/>
      <c r="M22" s="70" t="n"/>
      <c r="N22" s="69">
        <f>IF(OR(A22="",L22&lt;&gt;"Pending"),"",COUNTIF(L$5:L$34,"Pending")-COUNTIF(L$5:L22,"Pending")+1)</f>
        <v/>
      </c>
    </row>
    <row r="23" ht="28" customHeight="1">
      <c r="A23" s="65" t="n"/>
      <c r="B23" s="65" t="n"/>
      <c r="C23" s="66" t="n"/>
      <c r="D23" s="70" t="n"/>
      <c r="E23" s="70" t="n"/>
      <c r="F23" s="70" t="n"/>
      <c r="G23" s="70" t="n"/>
      <c r="H23" s="65" t="n"/>
      <c r="I23" s="70" t="n"/>
      <c r="J23" s="65" t="n"/>
      <c r="K23" s="66" t="n"/>
      <c r="L23" s="65" t="n"/>
      <c r="M23" s="70" t="n"/>
      <c r="N23" s="69">
        <f>IF(OR(A23="",L23&lt;&gt;"Pending"),"",COUNTIF(L$5:L$34,"Pending")-COUNTIF(L$5:L23,"Pending")+1)</f>
        <v/>
      </c>
    </row>
    <row r="24" ht="28" customHeight="1">
      <c r="A24" s="65" t="n"/>
      <c r="B24" s="65" t="n"/>
      <c r="C24" s="66" t="n"/>
      <c r="D24" s="70" t="n"/>
      <c r="E24" s="70" t="n"/>
      <c r="F24" s="70" t="n"/>
      <c r="G24" s="70" t="n"/>
      <c r="H24" s="65" t="n"/>
      <c r="I24" s="70" t="n"/>
      <c r="J24" s="65" t="n"/>
      <c r="K24" s="66" t="n"/>
      <c r="L24" s="65" t="n"/>
      <c r="M24" s="70" t="n"/>
      <c r="N24" s="69">
        <f>IF(OR(A24="",L24&lt;&gt;"Pending"),"",COUNTIF(L$5:L$34,"Pending")-COUNTIF(L$5:L24,"Pending")+1)</f>
        <v/>
      </c>
    </row>
    <row r="25" ht="28" customHeight="1">
      <c r="A25" s="65" t="n"/>
      <c r="B25" s="65" t="n"/>
      <c r="C25" s="66" t="n"/>
      <c r="D25" s="70" t="n"/>
      <c r="E25" s="70" t="n"/>
      <c r="F25" s="70" t="n"/>
      <c r="G25" s="70" t="n"/>
      <c r="H25" s="65" t="n"/>
      <c r="I25" s="70" t="n"/>
      <c r="J25" s="65" t="n"/>
      <c r="K25" s="66" t="n"/>
      <c r="L25" s="65" t="n"/>
      <c r="M25" s="70" t="n"/>
      <c r="N25" s="69">
        <f>IF(OR(A25="",L25&lt;&gt;"Pending"),"",COUNTIF(L$5:L$34,"Pending")-COUNTIF(L$5:L25,"Pending")+1)</f>
        <v/>
      </c>
    </row>
    <row r="26" ht="28" customHeight="1">
      <c r="A26" s="65" t="n"/>
      <c r="B26" s="65" t="n"/>
      <c r="C26" s="66" t="n"/>
      <c r="D26" s="70" t="n"/>
      <c r="E26" s="70" t="n"/>
      <c r="F26" s="70" t="n"/>
      <c r="G26" s="70" t="n"/>
      <c r="H26" s="65" t="n"/>
      <c r="I26" s="70" t="n"/>
      <c r="J26" s="65" t="n"/>
      <c r="K26" s="66" t="n"/>
      <c r="L26" s="65" t="n"/>
      <c r="M26" s="70" t="n"/>
      <c r="N26" s="69">
        <f>IF(OR(A26="",L26&lt;&gt;"Pending"),"",COUNTIF(L$5:L$34,"Pending")-COUNTIF(L$5:L26,"Pending")+1)</f>
        <v/>
      </c>
    </row>
    <row r="27" ht="28" customHeight="1">
      <c r="A27" s="65" t="n"/>
      <c r="B27" s="65" t="n"/>
      <c r="C27" s="66" t="n"/>
      <c r="D27" s="70" t="n"/>
      <c r="E27" s="70" t="n"/>
      <c r="F27" s="70" t="n"/>
      <c r="G27" s="70" t="n"/>
      <c r="H27" s="65" t="n"/>
      <c r="I27" s="70" t="n"/>
      <c r="J27" s="65" t="n"/>
      <c r="K27" s="66" t="n"/>
      <c r="L27" s="65" t="n"/>
      <c r="M27" s="70" t="n"/>
      <c r="N27" s="69">
        <f>IF(OR(A27="",L27&lt;&gt;"Pending"),"",COUNTIF(L$5:L$34,"Pending")-COUNTIF(L$5:L27,"Pending")+1)</f>
        <v/>
      </c>
    </row>
    <row r="28" ht="28" customHeight="1">
      <c r="A28" s="65" t="n"/>
      <c r="B28" s="65" t="n"/>
      <c r="C28" s="66" t="n"/>
      <c r="D28" s="70" t="n"/>
      <c r="E28" s="70" t="n"/>
      <c r="F28" s="70" t="n"/>
      <c r="G28" s="70" t="n"/>
      <c r="H28" s="65" t="n"/>
      <c r="I28" s="70" t="n"/>
      <c r="J28" s="65" t="n"/>
      <c r="K28" s="66" t="n"/>
      <c r="L28" s="65" t="n"/>
      <c r="M28" s="70" t="n"/>
      <c r="N28" s="69">
        <f>IF(OR(A28="",L28&lt;&gt;"Pending"),"",COUNTIF(L$5:L$34,"Pending")-COUNTIF(L$5:L28,"Pending")+1)</f>
        <v/>
      </c>
    </row>
    <row r="29" ht="28" customHeight="1">
      <c r="A29" s="65" t="n"/>
      <c r="B29" s="65" t="n"/>
      <c r="C29" s="66" t="n"/>
      <c r="D29" s="70" t="n"/>
      <c r="E29" s="70" t="n"/>
      <c r="F29" s="70" t="n"/>
      <c r="G29" s="70" t="n"/>
      <c r="H29" s="65" t="n"/>
      <c r="I29" s="70" t="n"/>
      <c r="J29" s="65" t="n"/>
      <c r="K29" s="66" t="n"/>
      <c r="L29" s="65" t="n"/>
      <c r="M29" s="70" t="n"/>
      <c r="N29" s="69">
        <f>IF(OR(A29="",L29&lt;&gt;"Pending"),"",COUNTIF(L$5:L$34,"Pending")-COUNTIF(L$5:L29,"Pending")+1)</f>
        <v/>
      </c>
    </row>
    <row r="30" ht="28" customHeight="1">
      <c r="A30" s="65" t="n"/>
      <c r="B30" s="65" t="n"/>
      <c r="C30" s="66" t="n"/>
      <c r="D30" s="70" t="n"/>
      <c r="E30" s="70" t="n"/>
      <c r="F30" s="70" t="n"/>
      <c r="G30" s="70" t="n"/>
      <c r="H30" s="65" t="n"/>
      <c r="I30" s="70" t="n"/>
      <c r="J30" s="65" t="n"/>
      <c r="K30" s="66" t="n"/>
      <c r="L30" s="65" t="n"/>
      <c r="M30" s="70" t="n"/>
      <c r="N30" s="69">
        <f>IF(OR(A30="",L30&lt;&gt;"Pending"),"",COUNTIF(L$5:L$34,"Pending")-COUNTIF(L$5:L30,"Pending")+1)</f>
        <v/>
      </c>
    </row>
    <row r="31" ht="28" customHeight="1">
      <c r="A31" s="65" t="n"/>
      <c r="B31" s="65" t="n"/>
      <c r="C31" s="66" t="n"/>
      <c r="D31" s="70" t="n"/>
      <c r="E31" s="70" t="n"/>
      <c r="F31" s="70" t="n"/>
      <c r="G31" s="70" t="n"/>
      <c r="H31" s="65" t="n"/>
      <c r="I31" s="70" t="n"/>
      <c r="J31" s="65" t="n"/>
      <c r="K31" s="66" t="n"/>
      <c r="L31" s="65" t="n"/>
      <c r="M31" s="70" t="n"/>
      <c r="N31" s="69">
        <f>IF(OR(A31="",L31&lt;&gt;"Pending"),"",COUNTIF(L$5:L$34,"Pending")-COUNTIF(L$5:L31,"Pending")+1)</f>
        <v/>
      </c>
    </row>
    <row r="32" ht="28" customHeight="1">
      <c r="A32" s="65" t="n"/>
      <c r="B32" s="65" t="n"/>
      <c r="C32" s="66" t="n"/>
      <c r="D32" s="70" t="n"/>
      <c r="E32" s="70" t="n"/>
      <c r="F32" s="70" t="n"/>
      <c r="G32" s="70" t="n"/>
      <c r="H32" s="65" t="n"/>
      <c r="I32" s="70" t="n"/>
      <c r="J32" s="65" t="n"/>
      <c r="K32" s="66" t="n"/>
      <c r="L32" s="65" t="n"/>
      <c r="M32" s="70" t="n"/>
      <c r="N32" s="69">
        <f>IF(OR(A32="",L32&lt;&gt;"Pending"),"",COUNTIF(L$5:L$34,"Pending")-COUNTIF(L$5:L32,"Pending")+1)</f>
        <v/>
      </c>
    </row>
    <row r="33" ht="28" customHeight="1">
      <c r="A33" s="65" t="n"/>
      <c r="B33" s="65" t="n"/>
      <c r="C33" s="66" t="n"/>
      <c r="D33" s="70" t="n"/>
      <c r="E33" s="70" t="n"/>
      <c r="F33" s="70" t="n"/>
      <c r="G33" s="70" t="n"/>
      <c r="H33" s="65" t="n"/>
      <c r="I33" s="70" t="n"/>
      <c r="J33" s="65" t="n"/>
      <c r="K33" s="66" t="n"/>
      <c r="L33" s="65" t="n"/>
      <c r="M33" s="70" t="n"/>
      <c r="N33" s="69">
        <f>IF(OR(A33="",L33&lt;&gt;"Pending"),"",COUNTIF(L$5:L$34,"Pending")-COUNTIF(L$5:L33,"Pending")+1)</f>
        <v/>
      </c>
    </row>
    <row r="34" ht="28" customHeight="1">
      <c r="A34" s="65" t="n"/>
      <c r="B34" s="65" t="n"/>
      <c r="C34" s="66" t="n"/>
      <c r="D34" s="70" t="n"/>
      <c r="E34" s="70" t="n"/>
      <c r="F34" s="70" t="n"/>
      <c r="G34" s="70" t="n"/>
      <c r="H34" s="65" t="n"/>
      <c r="I34" s="70" t="n"/>
      <c r="J34" s="65" t="n"/>
      <c r="K34" s="66" t="n"/>
      <c r="L34" s="65" t="n"/>
      <c r="M34" s="70" t="n"/>
      <c r="N34" s="69">
        <f>IF(OR(A34="",L34&lt;&gt;"Pending"),"",COUNTIF(L$5:L$34,"Pending")-COUNTIF(L$5:L34,"Pending")+1)</f>
        <v/>
      </c>
    </row>
  </sheetData>
  <mergeCells count="3">
    <mergeCell ref="A3:N3"/>
    <mergeCell ref="A2:N2"/>
    <mergeCell ref="A1:N1"/>
  </mergeCells>
  <conditionalFormatting sqref="L5:L34">
    <cfRule type="expression" priority="1" dxfId="4" stopIfTrue="1">
      <formula>EXACT($L5,"Pending")</formula>
    </cfRule>
    <cfRule type="expression" priority="2" dxfId="3" stopIfTrue="1">
      <formula>EXACT($L5,"Decided")</formula>
    </cfRule>
    <cfRule type="expression" priority="3" dxfId="8" stopIfTrue="1">
      <formula>EXACT($L5,"Deferred")</formula>
    </cfRule>
    <cfRule type="expression" priority="4" dxfId="5" stopIfTrue="1">
      <formula>EXACT($L5,"Rejected")</formula>
    </cfRule>
  </conditionalFormatting>
  <conditionalFormatting sqref="K5:K34">
    <cfRule type="expression" priority="5" dxfId="5" stopIfTrue="0">
      <formula>AND($A5&lt;&gt;"",$K5&lt;&gt;"",$K5&lt;TODAY(),$L5="Pending")</formula>
    </cfRule>
    <cfRule type="expression" priority="8" dxfId="4" stopIfTrue="0">
      <formula>AND($A5&lt;&gt;"",K5="")</formula>
    </cfRule>
  </conditionalFormatting>
  <conditionalFormatting sqref="A5:A34">
    <cfRule type="expression" priority="6" dxfId="5" stopIfTrue="0">
      <formula>AND($A5&lt;&gt;"",COUNTIF($A$5:$A$34,$A5)&gt;1)</formula>
    </cfRule>
  </conditionalFormatting>
  <conditionalFormatting sqref="H5:H34">
    <cfRule type="expression" priority="7" dxfId="4" stopIfTrue="0">
      <formula>AND($A5&lt;&gt;"",H5="")</formula>
    </cfRule>
  </conditionalFormatting>
  <dataValidations count="4">
    <dataValidation sqref="B5:B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H5:H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J5:J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L5:L34" showDropDown="0" showInputMessage="1" showErrorMessage="1" allowBlank="1" errorTitle="Value not allowed" error="Pick a value from the drop-down list (L_DecisionStatus)." promptTitle="Select" prompt="Choose a value from the drop-down list." type="list" errorStyle="stop">
      <formula1>L_DecisionStatus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K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6" customWidth="1" min="4" max="4"/>
    <col width="14" customWidth="1" min="5" max="5"/>
    <col width="15" customWidth="1" min="6" max="6"/>
    <col width="16" customWidth="1" min="7" max="7"/>
    <col width="18" customWidth="1" min="8" max="8"/>
    <col width="26" customWidth="1" min="9" max="9"/>
    <col width="22" customWidth="1" min="10" max="10"/>
    <col width="22" customWidth="1" min="11" max="11"/>
  </cols>
  <sheetData>
    <row r="1" ht="32" customHeight="1">
      <c r="A1" s="1" t="inlineStr">
        <is>
          <t>COMMUNICATION PLAN</t>
        </is>
      </c>
    </row>
    <row r="2" ht="17" customHeight="1">
      <c r="A2" s="2" t="inlineStr">
        <is>
          <t>Who receives which information, how often, in what format, from whom - plus the escalation path when information does not flow.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Comm ID</t>
        </is>
      </c>
      <c r="B4" s="64" t="inlineStr">
        <is>
          <t>Audience</t>
        </is>
      </c>
      <c r="C4" s="64" t="inlineStr">
        <is>
          <t>Information</t>
        </is>
      </c>
      <c r="D4" s="64" t="inlineStr">
        <is>
          <t>Owner</t>
        </is>
      </c>
      <c r="E4" s="64" t="inlineStr">
        <is>
          <t>Frequency</t>
        </is>
      </c>
      <c r="F4" s="64" t="inlineStr">
        <is>
          <t>Format</t>
        </is>
      </c>
      <c r="G4" s="64" t="inlineStr">
        <is>
          <t>Channel</t>
        </is>
      </c>
      <c r="H4" s="64" t="inlineStr">
        <is>
          <t>Timing</t>
        </is>
      </c>
      <c r="I4" s="64" t="inlineStr">
        <is>
          <t>Purpose</t>
        </is>
      </c>
      <c r="J4" s="64" t="inlineStr">
        <is>
          <t>Escalation Path</t>
        </is>
      </c>
      <c r="K4" s="64" t="inlineStr">
        <is>
          <t>Notes</t>
        </is>
      </c>
    </row>
    <row r="5" ht="28" customHeight="1">
      <c r="A5" s="65" t="inlineStr">
        <is>
          <t>COM-001</t>
        </is>
      </c>
      <c r="B5" s="65" t="inlineStr">
        <is>
          <t>Executive team</t>
        </is>
      </c>
      <c r="C5" s="70" t="inlineStr">
        <is>
          <t>Portfolio RAG, top risks, decisions required</t>
        </is>
      </c>
      <c r="D5" s="65" t="inlineStr">
        <is>
          <t>Priya Raman</t>
        </is>
      </c>
      <c r="E5" s="65" t="inlineStr">
        <is>
          <t>Weekly</t>
        </is>
      </c>
      <c r="F5" s="65" t="inlineStr">
        <is>
          <t>Dashboard</t>
        </is>
      </c>
      <c r="G5" s="65" t="inlineStr">
        <is>
          <t>Email</t>
        </is>
      </c>
      <c r="H5" s="65" t="inlineStr">
        <is>
          <t>Friday 09:00</t>
        </is>
      </c>
      <c r="I5" s="70" t="inlineStr">
        <is>
          <t>Management decision making</t>
        </is>
      </c>
      <c r="J5" s="65" t="inlineStr">
        <is>
          <t>CEO</t>
        </is>
      </c>
      <c r="K5" s="70" t="inlineStr">
        <is>
          <t>SAMPLE</t>
        </is>
      </c>
    </row>
    <row r="6" ht="28" customHeight="1">
      <c r="A6" s="65" t="inlineStr">
        <is>
          <t>COM-002</t>
        </is>
      </c>
      <c r="B6" s="65" t="inlineStr">
        <is>
          <t>Project managers</t>
        </is>
      </c>
      <c r="C6" s="70" t="inlineStr">
        <is>
          <t>Schedule, RAID and action status</t>
        </is>
      </c>
      <c r="D6" s="65" t="inlineStr">
        <is>
          <t>Priya Raman</t>
        </is>
      </c>
      <c r="E6" s="65" t="inlineStr">
        <is>
          <t>Weekly</t>
        </is>
      </c>
      <c r="F6" s="65" t="inlineStr">
        <is>
          <t>Meeting</t>
        </is>
      </c>
      <c r="G6" s="65" t="inlineStr">
        <is>
          <t>Meeting</t>
        </is>
      </c>
      <c r="H6" s="65" t="inlineStr">
        <is>
          <t>Monday 10:00</t>
        </is>
      </c>
      <c r="I6" s="70" t="inlineStr">
        <is>
          <t>Coordinate delivery</t>
        </is>
      </c>
      <c r="J6" s="65" t="inlineStr">
        <is>
          <t>PMO Lead</t>
        </is>
      </c>
      <c r="K6" s="70" t="inlineStr">
        <is>
          <t>SAMPLE</t>
        </is>
      </c>
    </row>
    <row r="7" ht="28" customHeight="1">
      <c r="A7" s="65" t="inlineStr">
        <is>
          <t>COM-003</t>
        </is>
      </c>
      <c r="B7" s="65" t="inlineStr">
        <is>
          <t>Project teams</t>
        </is>
      </c>
      <c r="C7" s="70" t="inlineStr">
        <is>
          <t>Task assignments and blockers</t>
        </is>
      </c>
      <c r="D7" s="65" t="inlineStr">
        <is>
          <t>Ahmed Khan</t>
        </is>
      </c>
      <c r="E7" s="65" t="inlineStr">
        <is>
          <t>Daily</t>
        </is>
      </c>
      <c r="F7" s="65" t="inlineStr">
        <is>
          <t>Meeting</t>
        </is>
      </c>
      <c r="G7" s="65" t="inlineStr">
        <is>
          <t>Teams</t>
        </is>
      </c>
      <c r="H7" s="65" t="inlineStr">
        <is>
          <t>09:15 stand-up</t>
        </is>
      </c>
      <c r="I7" s="70" t="inlineStr">
        <is>
          <t>Remove blockers</t>
        </is>
      </c>
      <c r="J7" s="65" t="inlineStr">
        <is>
          <t>Project Manager</t>
        </is>
      </c>
      <c r="K7" s="70" t="inlineStr">
        <is>
          <t>SAMPLE</t>
        </is>
      </c>
    </row>
    <row r="8" ht="28" customHeight="1">
      <c r="A8" s="65" t="inlineStr">
        <is>
          <t>COM-004</t>
        </is>
      </c>
      <c r="B8" s="65" t="inlineStr">
        <is>
          <t>Finance</t>
        </is>
      </c>
      <c r="C8" s="70" t="inlineStr">
        <is>
          <t>Actual vs approved cost and forecast</t>
        </is>
      </c>
      <c r="D8" s="65" t="inlineStr">
        <is>
          <t>Priya Raman</t>
        </is>
      </c>
      <c r="E8" s="65" t="inlineStr">
        <is>
          <t>Monthly</t>
        </is>
      </c>
      <c r="F8" s="65" t="inlineStr">
        <is>
          <t>Report</t>
        </is>
      </c>
      <c r="G8" s="65" t="inlineStr">
        <is>
          <t>Email</t>
        </is>
      </c>
      <c r="H8" s="65" t="inlineStr">
        <is>
          <t>Working day 3</t>
        </is>
      </c>
      <c r="I8" s="70" t="inlineStr">
        <is>
          <t>Budget control</t>
        </is>
      </c>
      <c r="J8" s="65" t="inlineStr">
        <is>
          <t>Finance Director</t>
        </is>
      </c>
      <c r="K8" s="70" t="inlineStr">
        <is>
          <t>SAMPLE</t>
        </is>
      </c>
    </row>
    <row r="9" ht="28" customHeight="1">
      <c r="A9" s="65" t="inlineStr">
        <is>
          <t>COM-005</t>
        </is>
      </c>
      <c r="B9" s="65" t="inlineStr">
        <is>
          <t>Business owners</t>
        </is>
      </c>
      <c r="C9" s="70" t="inlineStr">
        <is>
          <t>Progress, upcoming milestones, UAT readiness</t>
        </is>
      </c>
      <c r="D9" s="65" t="inlineStr">
        <is>
          <t>Maria Silva</t>
        </is>
      </c>
      <c r="E9" s="65" t="inlineStr">
        <is>
          <t>Weekly</t>
        </is>
      </c>
      <c r="F9" s="65" t="inlineStr">
        <is>
          <t>Report</t>
        </is>
      </c>
      <c r="G9" s="65" t="inlineStr">
        <is>
          <t>Email</t>
        </is>
      </c>
      <c r="H9" s="65" t="inlineStr">
        <is>
          <t>Thursday 16:00</t>
        </is>
      </c>
      <c r="I9" s="70" t="inlineStr">
        <is>
          <t>Set expectations</t>
        </is>
      </c>
      <c r="J9" s="65" t="inlineStr">
        <is>
          <t>Project Manager</t>
        </is>
      </c>
      <c r="K9" s="70" t="inlineStr">
        <is>
          <t>SAMPLE</t>
        </is>
      </c>
    </row>
    <row r="10" ht="28" customHeight="1">
      <c r="A10" s="65" t="inlineStr">
        <is>
          <t>COM-006</t>
        </is>
      </c>
      <c r="B10" s="65" t="inlineStr">
        <is>
          <t>Suppliers</t>
        </is>
      </c>
      <c r="C10" s="70" t="inlineStr">
        <is>
          <t>Delivery plan and acceptance criteria</t>
        </is>
      </c>
      <c r="D10" s="65" t="inlineStr">
        <is>
          <t>Lisa Chen</t>
        </is>
      </c>
      <c r="E10" s="65" t="inlineStr">
        <is>
          <t>Bi-Weekly</t>
        </is>
      </c>
      <c r="F10" s="65" t="inlineStr">
        <is>
          <t>Meeting</t>
        </is>
      </c>
      <c r="G10" s="65" t="inlineStr">
        <is>
          <t>Meeting</t>
        </is>
      </c>
      <c r="H10" s="65" t="inlineStr">
        <is>
          <t>Alternate Tuesday</t>
        </is>
      </c>
      <c r="I10" s="70" t="inlineStr">
        <is>
          <t>Manage suppliers</t>
        </is>
      </c>
      <c r="J10" s="65" t="inlineStr">
        <is>
          <t>Procurement</t>
        </is>
      </c>
      <c r="K10" s="70" t="inlineStr">
        <is>
          <t>SAMPLE</t>
        </is>
      </c>
    </row>
    <row r="11" ht="28" customHeight="1">
      <c r="A11" s="65" t="inlineStr">
        <is>
          <t>COM-007</t>
        </is>
      </c>
      <c r="B11" s="65" t="inlineStr">
        <is>
          <t>End users</t>
        </is>
      </c>
      <c r="C11" s="70" t="inlineStr">
        <is>
          <t>Training, go-live dates, changes</t>
        </is>
      </c>
      <c r="D11" s="65" t="inlineStr">
        <is>
          <t>Maria Silva</t>
        </is>
      </c>
      <c r="E11" s="65" t="inlineStr">
        <is>
          <t>Monthly</t>
        </is>
      </c>
      <c r="F11" s="65" t="inlineStr">
        <is>
          <t>Presentation</t>
        </is>
      </c>
      <c r="G11" s="65" t="inlineStr">
        <is>
          <t>Meeting</t>
        </is>
      </c>
      <c r="H11" s="65" t="inlineStr">
        <is>
          <t>Month 1 Wednesday</t>
        </is>
      </c>
      <c r="I11" s="70" t="inlineStr">
        <is>
          <t>Adoption and change</t>
        </is>
      </c>
      <c r="J11" s="65" t="inlineStr">
        <is>
          <t>Business Owner</t>
        </is>
      </c>
      <c r="K11" s="70" t="inlineStr">
        <is>
          <t>SAMPLE</t>
        </is>
      </c>
    </row>
    <row r="12" ht="28" customHeight="1">
      <c r="A12" s="65" t="inlineStr">
        <is>
          <t>COM-008</t>
        </is>
      </c>
      <c r="B12" s="65" t="inlineStr">
        <is>
          <t>Steering committee</t>
        </is>
      </c>
      <c r="C12" s="70" t="inlineStr">
        <is>
          <t>Decisions, changes, benefits</t>
        </is>
      </c>
      <c r="D12" s="65" t="inlineStr">
        <is>
          <t>Priya Raman</t>
        </is>
      </c>
      <c r="E12" s="65" t="inlineStr">
        <is>
          <t>Monthly</t>
        </is>
      </c>
      <c r="F12" s="65" t="inlineStr">
        <is>
          <t>Presentation</t>
        </is>
      </c>
      <c r="G12" s="65" t="inlineStr">
        <is>
          <t>Meeting</t>
        </is>
      </c>
      <c r="H12" s="65" t="inlineStr">
        <is>
          <t>First Thursday</t>
        </is>
      </c>
      <c r="I12" s="70" t="inlineStr">
        <is>
          <t>Governance</t>
        </is>
      </c>
      <c r="J12" s="65" t="inlineStr">
        <is>
          <t>Executive Sponsor</t>
        </is>
      </c>
      <c r="K12" s="70" t="inlineStr">
        <is>
          <t>SAMPLE</t>
        </is>
      </c>
    </row>
    <row r="13" ht="28" customHeight="1">
      <c r="A13" s="65" t="n"/>
      <c r="B13" s="65" t="n"/>
      <c r="C13" s="70" t="n"/>
      <c r="D13" s="65" t="n"/>
      <c r="E13" s="65" t="n"/>
      <c r="F13" s="65" t="n"/>
      <c r="G13" s="65" t="n"/>
      <c r="H13" s="65" t="n"/>
      <c r="I13" s="70" t="n"/>
      <c r="J13" s="65" t="n"/>
      <c r="K13" s="70" t="n"/>
    </row>
    <row r="14" ht="28" customHeight="1">
      <c r="A14" s="65" t="n"/>
      <c r="B14" s="65" t="n"/>
      <c r="C14" s="70" t="n"/>
      <c r="D14" s="65" t="n"/>
      <c r="E14" s="65" t="n"/>
      <c r="F14" s="65" t="n"/>
      <c r="G14" s="65" t="n"/>
      <c r="H14" s="65" t="n"/>
      <c r="I14" s="70" t="n"/>
      <c r="J14" s="65" t="n"/>
      <c r="K14" s="70" t="n"/>
    </row>
    <row r="15" ht="28" customHeight="1">
      <c r="A15" s="65" t="n"/>
      <c r="B15" s="65" t="n"/>
      <c r="C15" s="70" t="n"/>
      <c r="D15" s="65" t="n"/>
      <c r="E15" s="65" t="n"/>
      <c r="F15" s="65" t="n"/>
      <c r="G15" s="65" t="n"/>
      <c r="H15" s="65" t="n"/>
      <c r="I15" s="70" t="n"/>
      <c r="J15" s="65" t="n"/>
      <c r="K15" s="70" t="n"/>
    </row>
    <row r="16" ht="28" customHeight="1">
      <c r="A16" s="65" t="n"/>
      <c r="B16" s="65" t="n"/>
      <c r="C16" s="70" t="n"/>
      <c r="D16" s="65" t="n"/>
      <c r="E16" s="65" t="n"/>
      <c r="F16" s="65" t="n"/>
      <c r="G16" s="65" t="n"/>
      <c r="H16" s="65" t="n"/>
      <c r="I16" s="70" t="n"/>
      <c r="J16" s="65" t="n"/>
      <c r="K16" s="70" t="n"/>
    </row>
    <row r="17" ht="28" customHeight="1">
      <c r="A17" s="65" t="n"/>
      <c r="B17" s="65" t="n"/>
      <c r="C17" s="70" t="n"/>
      <c r="D17" s="65" t="n"/>
      <c r="E17" s="65" t="n"/>
      <c r="F17" s="65" t="n"/>
      <c r="G17" s="65" t="n"/>
      <c r="H17" s="65" t="n"/>
      <c r="I17" s="70" t="n"/>
      <c r="J17" s="65" t="n"/>
      <c r="K17" s="70" t="n"/>
    </row>
    <row r="18" ht="28" customHeight="1">
      <c r="A18" s="65" t="n"/>
      <c r="B18" s="65" t="n"/>
      <c r="C18" s="70" t="n"/>
      <c r="D18" s="65" t="n"/>
      <c r="E18" s="65" t="n"/>
      <c r="F18" s="65" t="n"/>
      <c r="G18" s="65" t="n"/>
      <c r="H18" s="65" t="n"/>
      <c r="I18" s="70" t="n"/>
      <c r="J18" s="65" t="n"/>
      <c r="K18" s="70" t="n"/>
    </row>
    <row r="19" ht="28" customHeight="1">
      <c r="A19" s="65" t="n"/>
      <c r="B19" s="65" t="n"/>
      <c r="C19" s="70" t="n"/>
      <c r="D19" s="65" t="n"/>
      <c r="E19" s="65" t="n"/>
      <c r="F19" s="65" t="n"/>
      <c r="G19" s="65" t="n"/>
      <c r="H19" s="65" t="n"/>
      <c r="I19" s="70" t="n"/>
      <c r="J19" s="65" t="n"/>
      <c r="K19" s="70" t="n"/>
    </row>
    <row r="20" ht="28" customHeight="1">
      <c r="A20" s="65" t="n"/>
      <c r="B20" s="65" t="n"/>
      <c r="C20" s="70" t="n"/>
      <c r="D20" s="65" t="n"/>
      <c r="E20" s="65" t="n"/>
      <c r="F20" s="65" t="n"/>
      <c r="G20" s="65" t="n"/>
      <c r="H20" s="65" t="n"/>
      <c r="I20" s="70" t="n"/>
      <c r="J20" s="65" t="n"/>
      <c r="K20" s="70" t="n"/>
    </row>
    <row r="21" ht="28" customHeight="1">
      <c r="A21" s="65" t="n"/>
      <c r="B21" s="65" t="n"/>
      <c r="C21" s="70" t="n"/>
      <c r="D21" s="65" t="n"/>
      <c r="E21" s="65" t="n"/>
      <c r="F21" s="65" t="n"/>
      <c r="G21" s="65" t="n"/>
      <c r="H21" s="65" t="n"/>
      <c r="I21" s="70" t="n"/>
      <c r="J21" s="65" t="n"/>
      <c r="K21" s="70" t="n"/>
    </row>
    <row r="22" ht="28" customHeight="1">
      <c r="A22" s="65" t="n"/>
      <c r="B22" s="65" t="n"/>
      <c r="C22" s="70" t="n"/>
      <c r="D22" s="65" t="n"/>
      <c r="E22" s="65" t="n"/>
      <c r="F22" s="65" t="n"/>
      <c r="G22" s="65" t="n"/>
      <c r="H22" s="65" t="n"/>
      <c r="I22" s="70" t="n"/>
      <c r="J22" s="65" t="n"/>
      <c r="K22" s="70" t="n"/>
    </row>
    <row r="23" ht="28" customHeight="1">
      <c r="A23" s="65" t="n"/>
      <c r="B23" s="65" t="n"/>
      <c r="C23" s="70" t="n"/>
      <c r="D23" s="65" t="n"/>
      <c r="E23" s="65" t="n"/>
      <c r="F23" s="65" t="n"/>
      <c r="G23" s="65" t="n"/>
      <c r="H23" s="65" t="n"/>
      <c r="I23" s="70" t="n"/>
      <c r="J23" s="65" t="n"/>
      <c r="K23" s="70" t="n"/>
    </row>
    <row r="24" ht="28" customHeight="1">
      <c r="A24" s="65" t="n"/>
      <c r="B24" s="65" t="n"/>
      <c r="C24" s="70" t="n"/>
      <c r="D24" s="65" t="n"/>
      <c r="E24" s="65" t="n"/>
      <c r="F24" s="65" t="n"/>
      <c r="G24" s="65" t="n"/>
      <c r="H24" s="65" t="n"/>
      <c r="I24" s="70" t="n"/>
      <c r="J24" s="65" t="n"/>
      <c r="K24" s="70" t="n"/>
    </row>
    <row r="25" ht="28" customHeight="1">
      <c r="A25" s="65" t="n"/>
      <c r="B25" s="65" t="n"/>
      <c r="C25" s="70" t="n"/>
      <c r="D25" s="65" t="n"/>
      <c r="E25" s="65" t="n"/>
      <c r="F25" s="65" t="n"/>
      <c r="G25" s="65" t="n"/>
      <c r="H25" s="65" t="n"/>
      <c r="I25" s="70" t="n"/>
      <c r="J25" s="65" t="n"/>
      <c r="K25" s="70" t="n"/>
    </row>
    <row r="26" ht="28" customHeight="1">
      <c r="A26" s="65" t="n"/>
      <c r="B26" s="65" t="n"/>
      <c r="C26" s="70" t="n"/>
      <c r="D26" s="65" t="n"/>
      <c r="E26" s="65" t="n"/>
      <c r="F26" s="65" t="n"/>
      <c r="G26" s="65" t="n"/>
      <c r="H26" s="65" t="n"/>
      <c r="I26" s="70" t="n"/>
      <c r="J26" s="65" t="n"/>
      <c r="K26" s="70" t="n"/>
    </row>
    <row r="27" ht="28" customHeight="1">
      <c r="A27" s="65" t="n"/>
      <c r="B27" s="65" t="n"/>
      <c r="C27" s="70" t="n"/>
      <c r="D27" s="65" t="n"/>
      <c r="E27" s="65" t="n"/>
      <c r="F27" s="65" t="n"/>
      <c r="G27" s="65" t="n"/>
      <c r="H27" s="65" t="n"/>
      <c r="I27" s="70" t="n"/>
      <c r="J27" s="65" t="n"/>
      <c r="K27" s="70" t="n"/>
    </row>
    <row r="28" ht="28" customHeight="1">
      <c r="A28" s="65" t="n"/>
      <c r="B28" s="65" t="n"/>
      <c r="C28" s="70" t="n"/>
      <c r="D28" s="65" t="n"/>
      <c r="E28" s="65" t="n"/>
      <c r="F28" s="65" t="n"/>
      <c r="G28" s="65" t="n"/>
      <c r="H28" s="65" t="n"/>
      <c r="I28" s="70" t="n"/>
      <c r="J28" s="65" t="n"/>
      <c r="K28" s="70" t="n"/>
    </row>
    <row r="29" ht="28" customHeight="1">
      <c r="A29" s="65" t="n"/>
      <c r="B29" s="65" t="n"/>
      <c r="C29" s="70" t="n"/>
      <c r="D29" s="65" t="n"/>
      <c r="E29" s="65" t="n"/>
      <c r="F29" s="65" t="n"/>
      <c r="G29" s="65" t="n"/>
      <c r="H29" s="65" t="n"/>
      <c r="I29" s="70" t="n"/>
      <c r="J29" s="65" t="n"/>
      <c r="K29" s="70" t="n"/>
    </row>
    <row r="30" ht="28" customHeight="1">
      <c r="A30" s="65" t="n"/>
      <c r="B30" s="65" t="n"/>
      <c r="C30" s="70" t="n"/>
      <c r="D30" s="65" t="n"/>
      <c r="E30" s="65" t="n"/>
      <c r="F30" s="65" t="n"/>
      <c r="G30" s="65" t="n"/>
      <c r="H30" s="65" t="n"/>
      <c r="I30" s="70" t="n"/>
      <c r="J30" s="65" t="n"/>
      <c r="K30" s="70" t="n"/>
    </row>
    <row r="31" ht="28" customHeight="1">
      <c r="A31" s="65" t="n"/>
      <c r="B31" s="65" t="n"/>
      <c r="C31" s="70" t="n"/>
      <c r="D31" s="65" t="n"/>
      <c r="E31" s="65" t="n"/>
      <c r="F31" s="65" t="n"/>
      <c r="G31" s="65" t="n"/>
      <c r="H31" s="65" t="n"/>
      <c r="I31" s="70" t="n"/>
      <c r="J31" s="65" t="n"/>
      <c r="K31" s="70" t="n"/>
    </row>
    <row r="32" ht="28" customHeight="1">
      <c r="A32" s="65" t="n"/>
      <c r="B32" s="65" t="n"/>
      <c r="C32" s="70" t="n"/>
      <c r="D32" s="65" t="n"/>
      <c r="E32" s="65" t="n"/>
      <c r="F32" s="65" t="n"/>
      <c r="G32" s="65" t="n"/>
      <c r="H32" s="65" t="n"/>
      <c r="I32" s="70" t="n"/>
      <c r="J32" s="65" t="n"/>
      <c r="K32" s="70" t="n"/>
    </row>
    <row r="33" ht="28" customHeight="1">
      <c r="A33" s="65" t="n"/>
      <c r="B33" s="65" t="n"/>
      <c r="C33" s="70" t="n"/>
      <c r="D33" s="65" t="n"/>
      <c r="E33" s="65" t="n"/>
      <c r="F33" s="65" t="n"/>
      <c r="G33" s="65" t="n"/>
      <c r="H33" s="65" t="n"/>
      <c r="I33" s="70" t="n"/>
      <c r="J33" s="65" t="n"/>
      <c r="K33" s="70" t="n"/>
    </row>
    <row r="34" ht="28" customHeight="1">
      <c r="A34" s="65" t="n"/>
      <c r="B34" s="65" t="n"/>
      <c r="C34" s="70" t="n"/>
      <c r="D34" s="65" t="n"/>
      <c r="E34" s="65" t="n"/>
      <c r="F34" s="65" t="n"/>
      <c r="G34" s="65" t="n"/>
      <c r="H34" s="65" t="n"/>
      <c r="I34" s="70" t="n"/>
      <c r="J34" s="65" t="n"/>
      <c r="K34" s="70" t="n"/>
    </row>
  </sheetData>
  <mergeCells count="3">
    <mergeCell ref="A2:K2"/>
    <mergeCell ref="A1:K1"/>
    <mergeCell ref="A3:K3"/>
  </mergeCells>
  <conditionalFormatting sqref="A5:A34">
    <cfRule type="expression" priority="1" dxfId="5" stopIfTrue="0">
      <formula>AND($A5&lt;&gt;"",COUNTIF($A$5:$A$34,$A5)&gt;1)</formula>
    </cfRule>
  </conditionalFormatting>
  <conditionalFormatting sqref="D5:D34">
    <cfRule type="expression" priority="2" dxfId="4" stopIfTrue="0">
      <formula>AND($A5&lt;&gt;"",D5="")</formula>
    </cfRule>
  </conditionalFormatting>
  <dataValidations count="4">
    <dataValidation sqref="D5:D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E5:E34" showDropDown="0" showInputMessage="1" showErrorMessage="1" allowBlank="1" errorTitle="Value not allowed" error="Pick a value from the drop-down list (L_Frequency)." promptTitle="Select" prompt="Choose a value from the drop-down list." type="list" errorStyle="stop">
      <formula1>L_Frequency</formula1>
    </dataValidation>
    <dataValidation sqref="F5:F34" showDropDown="0" showInputMessage="1" showErrorMessage="1" allowBlank="1" errorTitle="Value not allowed" error="Pick a value from the drop-down list (L_Format)." promptTitle="Select" prompt="Choose a value from the drop-down list." type="list" errorStyle="stop">
      <formula1>L_Format</formula1>
    </dataValidation>
    <dataValidation sqref="G5:G34" showDropDown="0" showInputMessage="1" showErrorMessage="1" allowBlank="1" errorTitle="Value not allowed" error="Pick a value from the drop-down list (L_Channel)." promptTitle="Select" prompt="Choose a value from the drop-down list." type="list" errorStyle="stop">
      <formula1>L_Channel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I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16" customWidth="1" min="4" max="4"/>
    <col width="13" customWidth="1" min="5" max="5"/>
    <col width="15" customWidth="1" min="6" max="6"/>
    <col width="26" customWidth="1" min="7" max="7"/>
    <col width="14" customWidth="1" min="8" max="8"/>
    <col width="24" customWidth="1" min="9" max="9"/>
  </cols>
  <sheetData>
    <row r="1" ht="32" customHeight="1">
      <c r="A1" s="1" t="inlineStr">
        <is>
          <t>PROJECT CLOSURE CHECKLIST</t>
        </is>
      </c>
    </row>
    <row r="2" ht="17" customHeight="1">
      <c r="A2" s="2" t="inlineStr">
        <is>
          <t>Formal closure checklist per project. The completion indicator below must reach 100% before the project is marked Completed in the portfolio.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Item ID</t>
        </is>
      </c>
      <c r="B4" s="64" t="inlineStr">
        <is>
          <t>Project</t>
        </is>
      </c>
      <c r="C4" s="64" t="inlineStr">
        <is>
          <t>Closure Item</t>
        </is>
      </c>
      <c r="D4" s="64" t="inlineStr">
        <is>
          <t>Owner</t>
        </is>
      </c>
      <c r="E4" s="64" t="inlineStr">
        <is>
          <t>Due Date</t>
        </is>
      </c>
      <c r="F4" s="64" t="inlineStr">
        <is>
          <t>Status</t>
        </is>
      </c>
      <c r="G4" s="64" t="inlineStr">
        <is>
          <t>Evidence / Reference</t>
        </is>
      </c>
      <c r="H4" s="64" t="inlineStr">
        <is>
          <t>Date Completed</t>
        </is>
      </c>
      <c r="I4" s="64" t="inlineStr">
        <is>
          <t>Notes</t>
        </is>
      </c>
    </row>
    <row r="5" ht="28" customHeight="1">
      <c r="A5" s="65" t="inlineStr">
        <is>
          <t>CLS-001</t>
        </is>
      </c>
      <c r="B5" s="65" t="inlineStr">
        <is>
          <t>Payroll Reporting Portal</t>
        </is>
      </c>
      <c r="C5" s="65" t="inlineStr">
        <is>
          <t>Deliverables accepted by business owner</t>
        </is>
      </c>
      <c r="D5" s="65" t="inlineStr">
        <is>
          <t>Maria Silva</t>
        </is>
      </c>
      <c r="E5" s="66" t="n">
        <v>46311</v>
      </c>
      <c r="F5" s="65" t="inlineStr">
        <is>
          <t>Complete</t>
        </is>
      </c>
      <c r="G5" s="65" t="inlineStr">
        <is>
          <t>Acceptance email 28-Sep</t>
        </is>
      </c>
      <c r="H5" s="66" t="n">
        <v>46297</v>
      </c>
      <c r="I5" s="70" t="inlineStr">
        <is>
          <t>SAMPLE</t>
        </is>
      </c>
    </row>
    <row r="6" ht="28" customHeight="1">
      <c r="A6" s="65" t="inlineStr">
        <is>
          <t>CLS-002</t>
        </is>
      </c>
      <c r="B6" s="65" t="inlineStr">
        <is>
          <t>Payroll Reporting Portal</t>
        </is>
      </c>
      <c r="C6" s="65" t="inlineStr">
        <is>
          <t>Business sign-off obtained</t>
        </is>
      </c>
      <c r="D6" s="65" t="inlineStr">
        <is>
          <t>Priya Raman</t>
        </is>
      </c>
      <c r="E6" s="66" t="n">
        <v>46311</v>
      </c>
      <c r="F6" s="65" t="inlineStr">
        <is>
          <t>Complete</t>
        </is>
      </c>
      <c r="G6" s="65" t="inlineStr">
        <is>
          <t>Sign-off form</t>
        </is>
      </c>
      <c r="H6" s="66" t="n">
        <v>46297</v>
      </c>
      <c r="I6" s="70" t="inlineStr">
        <is>
          <t>SAMPLE</t>
        </is>
      </c>
    </row>
    <row r="7" ht="28" customHeight="1">
      <c r="A7" s="65" t="inlineStr">
        <is>
          <t>CLS-003</t>
        </is>
      </c>
      <c r="B7" s="65" t="inlineStr">
        <is>
          <t>Payroll Reporting Portal</t>
        </is>
      </c>
      <c r="C7" s="65" t="inlineStr">
        <is>
          <t>Technical sign-off obtained</t>
        </is>
      </c>
      <c r="D7" s="65" t="inlineStr">
        <is>
          <t>Tom Becker</t>
        </is>
      </c>
      <c r="E7" s="66" t="n">
        <v>46311</v>
      </c>
      <c r="F7" s="65" t="inlineStr">
        <is>
          <t>Complete</t>
        </is>
      </c>
      <c r="G7" s="65" t="inlineStr">
        <is>
          <t>Tech review note</t>
        </is>
      </c>
      <c r="H7" s="66" t="n">
        <v>46297</v>
      </c>
      <c r="I7" s="70" t="inlineStr">
        <is>
          <t>SAMPLE</t>
        </is>
      </c>
    </row>
    <row r="8" ht="28" customHeight="1">
      <c r="A8" s="65" t="inlineStr">
        <is>
          <t>CLS-004</t>
        </is>
      </c>
      <c r="B8" s="65" t="inlineStr">
        <is>
          <t>Payroll Reporting Portal</t>
        </is>
      </c>
      <c r="C8" s="65" t="inlineStr">
        <is>
          <t>Financial closure (invoices settled)</t>
        </is>
      </c>
      <c r="D8" s="65" t="inlineStr">
        <is>
          <t>Grace Alemu</t>
        </is>
      </c>
      <c r="E8" s="66" t="n">
        <v>46311</v>
      </c>
      <c r="F8" s="65" t="inlineStr">
        <is>
          <t>Complete</t>
        </is>
      </c>
      <c r="G8" s="65" t="inlineStr">
        <is>
          <t>Finance confirmation</t>
        </is>
      </c>
      <c r="H8" s="66" t="n">
        <v>46297</v>
      </c>
      <c r="I8" s="70" t="inlineStr">
        <is>
          <t>SAMPLE</t>
        </is>
      </c>
    </row>
    <row r="9" ht="28" customHeight="1">
      <c r="A9" s="65" t="inlineStr">
        <is>
          <t>CLS-005</t>
        </is>
      </c>
      <c r="B9" s="65" t="inlineStr">
        <is>
          <t>Payroll Reporting Portal</t>
        </is>
      </c>
      <c r="C9" s="65" t="inlineStr">
        <is>
          <t>Contract closure with suppliers</t>
        </is>
      </c>
      <c r="D9" s="65" t="inlineStr">
        <is>
          <t>Lisa Chen</t>
        </is>
      </c>
      <c r="E9" s="66" t="n">
        <v>46311</v>
      </c>
      <c r="F9" s="65" t="inlineStr">
        <is>
          <t>N/A</t>
        </is>
      </c>
      <c r="G9" s="65" t="inlineStr">
        <is>
          <t>No external contract</t>
        </is>
      </c>
      <c r="H9" s="66" t="n"/>
      <c r="I9" s="70" t="inlineStr">
        <is>
          <t>SAMPLE</t>
        </is>
      </c>
    </row>
    <row r="10" ht="28" customHeight="1">
      <c r="A10" s="65" t="inlineStr">
        <is>
          <t>CLS-006</t>
        </is>
      </c>
      <c r="B10" s="65" t="inlineStr">
        <is>
          <t>Payroll Reporting Portal</t>
        </is>
      </c>
      <c r="C10" s="65" t="inlineStr">
        <is>
          <t>Documentation complete</t>
        </is>
      </c>
      <c r="D10" s="65" t="inlineStr">
        <is>
          <t>Priya Raman</t>
        </is>
      </c>
      <c r="E10" s="66" t="n">
        <v>46311</v>
      </c>
      <c r="F10" s="65" t="inlineStr">
        <is>
          <t>Complete</t>
        </is>
      </c>
      <c r="G10" s="65" t="inlineStr">
        <is>
          <t>Document library</t>
        </is>
      </c>
      <c r="H10" s="66" t="n">
        <v>46297</v>
      </c>
      <c r="I10" s="70" t="inlineStr">
        <is>
          <t>SAMPLE</t>
        </is>
      </c>
    </row>
    <row r="11" ht="28" customHeight="1">
      <c r="A11" s="65" t="inlineStr">
        <is>
          <t>CLS-007</t>
        </is>
      </c>
      <c r="B11" s="65" t="inlineStr">
        <is>
          <t>Payroll Reporting Portal</t>
        </is>
      </c>
      <c r="C11" s="65" t="inlineStr">
        <is>
          <t>Training complete for users</t>
        </is>
      </c>
      <c r="D11" s="65" t="inlineStr">
        <is>
          <t>Maria Silva</t>
        </is>
      </c>
      <c r="E11" s="66" t="n">
        <v>46311</v>
      </c>
      <c r="F11" s="65" t="inlineStr">
        <is>
          <t>Complete</t>
        </is>
      </c>
      <c r="G11" s="65" t="inlineStr">
        <is>
          <t>Training attendance sheet</t>
        </is>
      </c>
      <c r="H11" s="66" t="n">
        <v>46297</v>
      </c>
      <c r="I11" s="70" t="inlineStr">
        <is>
          <t>SAMPLE</t>
        </is>
      </c>
    </row>
    <row r="12" ht="28" customHeight="1">
      <c r="A12" s="65" t="inlineStr">
        <is>
          <t>CLS-008</t>
        </is>
      </c>
      <c r="B12" s="65" t="inlineStr">
        <is>
          <t>Payroll Reporting Portal</t>
        </is>
      </c>
      <c r="C12" s="65" t="inlineStr">
        <is>
          <t>Lessons learned captured</t>
        </is>
      </c>
      <c r="D12" s="65" t="inlineStr">
        <is>
          <t>Priya Raman</t>
        </is>
      </c>
      <c r="E12" s="66" t="n">
        <v>46311</v>
      </c>
      <c r="F12" s="65" t="inlineStr">
        <is>
          <t>In Progress</t>
        </is>
      </c>
      <c r="G12" s="65" t="inlineStr"/>
      <c r="H12" s="66" t="n"/>
      <c r="I12" s="70" t="inlineStr">
        <is>
          <t>SAMPLE</t>
        </is>
      </c>
    </row>
    <row r="13" ht="28" customHeight="1">
      <c r="A13" s="65" t="inlineStr">
        <is>
          <t>CLS-009</t>
        </is>
      </c>
      <c r="B13" s="65" t="inlineStr">
        <is>
          <t>Payroll Reporting Portal</t>
        </is>
      </c>
      <c r="C13" s="65" t="inlineStr">
        <is>
          <t>Resources released</t>
        </is>
      </c>
      <c r="D13" s="65" t="inlineStr">
        <is>
          <t>Ahmed Khan</t>
        </is>
      </c>
      <c r="E13" s="66" t="n">
        <v>46311</v>
      </c>
      <c r="F13" s="65" t="inlineStr">
        <is>
          <t>Complete</t>
        </is>
      </c>
      <c r="G13" s="65" t="inlineStr">
        <is>
          <t>Resource plan update</t>
        </is>
      </c>
      <c r="H13" s="66" t="n">
        <v>46297</v>
      </c>
      <c r="I13" s="70" t="inlineStr">
        <is>
          <t>SAMPLE</t>
        </is>
      </c>
    </row>
    <row r="14" ht="28" customHeight="1">
      <c r="A14" s="65" t="inlineStr">
        <is>
          <t>CLS-010</t>
        </is>
      </c>
      <c r="B14" s="65" t="inlineStr">
        <is>
          <t>Payroll Reporting Portal</t>
        </is>
      </c>
      <c r="C14" s="65" t="inlineStr">
        <is>
          <t>Archive complete (files, access, licences)</t>
        </is>
      </c>
      <c r="D14" s="65" t="inlineStr">
        <is>
          <t>Tom Becker</t>
        </is>
      </c>
      <c r="E14" s="66" t="n">
        <v>46311</v>
      </c>
      <c r="F14" s="65" t="inlineStr">
        <is>
          <t>In Progress</t>
        </is>
      </c>
      <c r="G14" s="65" t="inlineStr"/>
      <c r="H14" s="66" t="n"/>
      <c r="I14" s="70" t="inlineStr">
        <is>
          <t>SAMPLE</t>
        </is>
      </c>
    </row>
    <row r="15" ht="28" customHeight="1">
      <c r="A15" s="65" t="inlineStr">
        <is>
          <t>CLS-011</t>
        </is>
      </c>
      <c r="B15" s="65" t="inlineStr">
        <is>
          <t>Payroll Reporting Portal</t>
        </is>
      </c>
      <c r="C15" s="65" t="inlineStr">
        <is>
          <t>Closure report issued</t>
        </is>
      </c>
      <c r="D15" s="65" t="inlineStr">
        <is>
          <t>Priya Raman</t>
        </is>
      </c>
      <c r="E15" s="66" t="n">
        <v>46311</v>
      </c>
      <c r="F15" s="65" t="inlineStr">
        <is>
          <t>Not Started</t>
        </is>
      </c>
      <c r="G15" s="65" t="inlineStr"/>
      <c r="H15" s="66" t="n"/>
      <c r="I15" s="70" t="inlineStr">
        <is>
          <t>SAMPLE</t>
        </is>
      </c>
    </row>
    <row r="16" ht="28" customHeight="1">
      <c r="A16" s="65" t="inlineStr">
        <is>
          <t>CLS-012</t>
        </is>
      </c>
      <c r="B16" s="65" t="inlineStr">
        <is>
          <t>Payroll Reporting Portal</t>
        </is>
      </c>
      <c r="C16" s="65" t="inlineStr">
        <is>
          <t>Project formally closed</t>
        </is>
      </c>
      <c r="D16" s="65" t="inlineStr">
        <is>
          <t>Priya Raman</t>
        </is>
      </c>
      <c r="E16" s="66" t="n">
        <v>46311</v>
      </c>
      <c r="F16" s="65" t="inlineStr">
        <is>
          <t>Not Started</t>
        </is>
      </c>
      <c r="G16" s="65" t="inlineStr"/>
      <c r="H16" s="66" t="n"/>
      <c r="I16" s="70" t="inlineStr">
        <is>
          <t>SAMPLE</t>
        </is>
      </c>
    </row>
    <row r="17" ht="28" customHeight="1">
      <c r="A17" s="65" t="n"/>
      <c r="B17" s="65" t="n"/>
      <c r="C17" s="65" t="n"/>
      <c r="D17" s="65" t="n"/>
      <c r="E17" s="66" t="n"/>
      <c r="F17" s="65" t="n"/>
      <c r="G17" s="65" t="n"/>
      <c r="H17" s="66" t="n"/>
      <c r="I17" s="70" t="n"/>
    </row>
    <row r="18" ht="28" customHeight="1">
      <c r="A18" s="65" t="n"/>
      <c r="B18" s="65" t="n"/>
      <c r="C18" s="65" t="n"/>
      <c r="D18" s="65" t="n"/>
      <c r="E18" s="66" t="n"/>
      <c r="F18" s="65" t="n"/>
      <c r="G18" s="65" t="n"/>
      <c r="H18" s="66" t="n"/>
      <c r="I18" s="70" t="n"/>
    </row>
    <row r="19" ht="28" customHeight="1">
      <c r="A19" s="65" t="n"/>
      <c r="B19" s="65" t="n"/>
      <c r="C19" s="65" t="n"/>
      <c r="D19" s="65" t="n"/>
      <c r="E19" s="66" t="n"/>
      <c r="F19" s="65" t="n"/>
      <c r="G19" s="65" t="n"/>
      <c r="H19" s="66" t="n"/>
      <c r="I19" s="70" t="n"/>
    </row>
    <row r="20" ht="28" customHeight="1">
      <c r="A20" s="65" t="n"/>
      <c r="B20" s="65" t="n"/>
      <c r="C20" s="65" t="n"/>
      <c r="D20" s="65" t="n"/>
      <c r="E20" s="66" t="n"/>
      <c r="F20" s="65" t="n"/>
      <c r="G20" s="65" t="n"/>
      <c r="H20" s="66" t="n"/>
      <c r="I20" s="70" t="n"/>
    </row>
    <row r="21" ht="28" customHeight="1">
      <c r="A21" s="65" t="n"/>
      <c r="B21" s="65" t="n"/>
      <c r="C21" s="65" t="n"/>
      <c r="D21" s="65" t="n"/>
      <c r="E21" s="66" t="n"/>
      <c r="F21" s="65" t="n"/>
      <c r="G21" s="65" t="n"/>
      <c r="H21" s="66" t="n"/>
      <c r="I21" s="70" t="n"/>
    </row>
    <row r="22" ht="28" customHeight="1">
      <c r="A22" s="65" t="n"/>
      <c r="B22" s="65" t="n"/>
      <c r="C22" s="65" t="n"/>
      <c r="D22" s="65" t="n"/>
      <c r="E22" s="66" t="n"/>
      <c r="F22" s="65" t="n"/>
      <c r="G22" s="65" t="n"/>
      <c r="H22" s="66" t="n"/>
      <c r="I22" s="70" t="n"/>
    </row>
    <row r="23" ht="28" customHeight="1">
      <c r="A23" s="65" t="n"/>
      <c r="B23" s="65" t="n"/>
      <c r="C23" s="65" t="n"/>
      <c r="D23" s="65" t="n"/>
      <c r="E23" s="66" t="n"/>
      <c r="F23" s="65" t="n"/>
      <c r="G23" s="65" t="n"/>
      <c r="H23" s="66" t="n"/>
      <c r="I23" s="70" t="n"/>
    </row>
    <row r="24" ht="28" customHeight="1">
      <c r="A24" s="65" t="n"/>
      <c r="B24" s="65" t="n"/>
      <c r="C24" s="65" t="n"/>
      <c r="D24" s="65" t="n"/>
      <c r="E24" s="66" t="n"/>
      <c r="F24" s="65" t="n"/>
      <c r="G24" s="65" t="n"/>
      <c r="H24" s="66" t="n"/>
      <c r="I24" s="70" t="n"/>
    </row>
    <row r="25" ht="28" customHeight="1">
      <c r="A25" s="65" t="n"/>
      <c r="B25" s="65" t="n"/>
      <c r="C25" s="65" t="n"/>
      <c r="D25" s="65" t="n"/>
      <c r="E25" s="66" t="n"/>
      <c r="F25" s="65" t="n"/>
      <c r="G25" s="65" t="n"/>
      <c r="H25" s="66" t="n"/>
      <c r="I25" s="70" t="n"/>
    </row>
    <row r="26" ht="28" customHeight="1">
      <c r="A26" s="65" t="n"/>
      <c r="B26" s="65" t="n"/>
      <c r="C26" s="65" t="n"/>
      <c r="D26" s="65" t="n"/>
      <c r="E26" s="66" t="n"/>
      <c r="F26" s="65" t="n"/>
      <c r="G26" s="65" t="n"/>
      <c r="H26" s="66" t="n"/>
      <c r="I26" s="70" t="n"/>
    </row>
    <row r="27" ht="28" customHeight="1">
      <c r="A27" s="65" t="n"/>
      <c r="B27" s="65" t="n"/>
      <c r="C27" s="65" t="n"/>
      <c r="D27" s="65" t="n"/>
      <c r="E27" s="66" t="n"/>
      <c r="F27" s="65" t="n"/>
      <c r="G27" s="65" t="n"/>
      <c r="H27" s="66" t="n"/>
      <c r="I27" s="70" t="n"/>
    </row>
    <row r="28" ht="28" customHeight="1">
      <c r="A28" s="65" t="n"/>
      <c r="B28" s="65" t="n"/>
      <c r="C28" s="65" t="n"/>
      <c r="D28" s="65" t="n"/>
      <c r="E28" s="66" t="n"/>
      <c r="F28" s="65" t="n"/>
      <c r="G28" s="65" t="n"/>
      <c r="H28" s="66" t="n"/>
      <c r="I28" s="70" t="n"/>
    </row>
    <row r="29" ht="28" customHeight="1">
      <c r="A29" s="65" t="n"/>
      <c r="B29" s="65" t="n"/>
      <c r="C29" s="65" t="n"/>
      <c r="D29" s="65" t="n"/>
      <c r="E29" s="66" t="n"/>
      <c r="F29" s="65" t="n"/>
      <c r="G29" s="65" t="n"/>
      <c r="H29" s="66" t="n"/>
      <c r="I29" s="70" t="n"/>
    </row>
    <row r="30" ht="28" customHeight="1">
      <c r="A30" s="65" t="n"/>
      <c r="B30" s="65" t="n"/>
      <c r="C30" s="65" t="n"/>
      <c r="D30" s="65" t="n"/>
      <c r="E30" s="66" t="n"/>
      <c r="F30" s="65" t="n"/>
      <c r="G30" s="65" t="n"/>
      <c r="H30" s="66" t="n"/>
      <c r="I30" s="70" t="n"/>
    </row>
    <row r="31" ht="28" customHeight="1">
      <c r="A31" s="65" t="n"/>
      <c r="B31" s="65" t="n"/>
      <c r="C31" s="65" t="n"/>
      <c r="D31" s="65" t="n"/>
      <c r="E31" s="66" t="n"/>
      <c r="F31" s="65" t="n"/>
      <c r="G31" s="65" t="n"/>
      <c r="H31" s="66" t="n"/>
      <c r="I31" s="70" t="n"/>
    </row>
    <row r="32" ht="28" customHeight="1">
      <c r="A32" s="65" t="n"/>
      <c r="B32" s="65" t="n"/>
      <c r="C32" s="65" t="n"/>
      <c r="D32" s="65" t="n"/>
      <c r="E32" s="66" t="n"/>
      <c r="F32" s="65" t="n"/>
      <c r="G32" s="65" t="n"/>
      <c r="H32" s="66" t="n"/>
      <c r="I32" s="70" t="n"/>
    </row>
    <row r="33" ht="28" customHeight="1">
      <c r="A33" s="65" t="n"/>
      <c r="B33" s="65" t="n"/>
      <c r="C33" s="65" t="n"/>
      <c r="D33" s="65" t="n"/>
      <c r="E33" s="66" t="n"/>
      <c r="F33" s="65" t="n"/>
      <c r="G33" s="65" t="n"/>
      <c r="H33" s="66" t="n"/>
      <c r="I33" s="70" t="n"/>
    </row>
    <row r="34" ht="28" customHeight="1">
      <c r="A34" s="65" t="n"/>
      <c r="B34" s="65" t="n"/>
      <c r="C34" s="65" t="n"/>
      <c r="D34" s="65" t="n"/>
      <c r="E34" s="66" t="n"/>
      <c r="F34" s="65" t="n"/>
      <c r="G34" s="65" t="n"/>
      <c r="H34" s="66" t="n"/>
      <c r="I34" s="70" t="n"/>
    </row>
    <row r="36" ht="20" customHeight="1">
      <c r="A36" s="6" t="inlineStr">
        <is>
          <t>CLOSURE SUMMARY - AUTOMATIC (ALL CLOSURE ITEMS)</t>
        </is>
      </c>
    </row>
    <row r="37" ht="24" customHeight="1">
      <c r="A37" s="79" t="inlineStr">
        <is>
          <t>TOTAL ITEMS</t>
        </is>
      </c>
      <c r="B37" s="32" t="n"/>
      <c r="C37" s="79" t="inlineStr">
        <is>
          <t>COMPLETE</t>
        </is>
      </c>
      <c r="D37" s="32" t="n"/>
      <c r="E37" s="79" t="inlineStr">
        <is>
          <t>IN PROGRESS</t>
        </is>
      </c>
      <c r="F37" s="32" t="n"/>
      <c r="G37" s="79" t="inlineStr">
        <is>
          <t>% COMPLETE</t>
        </is>
      </c>
      <c r="H37" s="32" t="n"/>
      <c r="I37" s="32" t="n"/>
    </row>
    <row r="38" ht="30" customHeight="1">
      <c r="A38" s="91">
        <f>COUNTIF($A$5:$A$34,"?*")</f>
        <v/>
      </c>
      <c r="B38" s="12" t="n"/>
      <c r="C38" s="91">
        <f>COUNTIF($F$5:$F$34,"Complete")</f>
        <v/>
      </c>
      <c r="D38" s="12" t="n"/>
      <c r="E38" s="91">
        <f>COUNTIF($F$5:$F$34,"In Progress")</f>
        <v/>
      </c>
      <c r="F38" s="12" t="n"/>
      <c r="G38" s="89">
        <f>IFERROR($C$38/$A$38,0)</f>
        <v/>
      </c>
      <c r="H38" s="12" t="n"/>
      <c r="I38" s="12" t="n"/>
    </row>
    <row r="39" ht="24" customHeight="1">
      <c r="A39" s="79" t="inlineStr">
        <is>
          <t>NOT STARTED</t>
        </is>
      </c>
      <c r="B39" s="32" t="n"/>
      <c r="C39" s="79" t="inlineStr">
        <is>
          <t>OVERDUE</t>
        </is>
      </c>
      <c r="D39" s="32" t="n"/>
      <c r="E39" s="79" t="inlineStr">
        <is>
          <t>DUE IN 7 DAYS</t>
        </is>
      </c>
      <c r="F39" s="32" t="n"/>
      <c r="G39" s="79" t="inlineStr">
        <is>
          <t>CLOSURE STATUS</t>
        </is>
      </c>
      <c r="H39" s="32" t="n"/>
      <c r="I39" s="32" t="n"/>
    </row>
    <row r="40" ht="30" customHeight="1">
      <c r="A40" s="91">
        <f>COUNTIF($F$5:$F$34,"Not Started")</f>
        <v/>
      </c>
      <c r="B40" s="12" t="n"/>
      <c r="C40" s="91">
        <f>COUNTIFS($E$5:$E$34,"&lt;"&amp;TODAY(),$E$5:$E$34,"&lt;&gt;",$F$5:$F$34,"&lt;&gt;Complete")</f>
        <v/>
      </c>
      <c r="D40" s="12" t="n"/>
      <c r="E40" s="91">
        <f>COUNTIFS($E$5:$E$34,"&gt;="&amp;TODAY(),$E$5:$E$34,"&lt;="&amp;TODAY()+7,$F$5:$F$34,"&lt;&gt;Complete")</f>
        <v/>
      </c>
      <c r="F40" s="12" t="n"/>
      <c r="G40" s="90">
        <f>IF($A$38=0,"-",IF($C$38&gt;=$A$38,"CLOSED",IF($G$38&gt;=0.5,"ON TRACK","AT RISK")))</f>
        <v/>
      </c>
      <c r="H40" s="12" t="n"/>
      <c r="I40" s="12" t="n"/>
    </row>
    <row r="41" ht="16" customHeight="1">
      <c r="A41" s="3" t="inlineStr">
        <is>
          <t>Closure is complete when every checklist item for every project is Complete - the status cell turns green by itself.</t>
        </is>
      </c>
      <c r="B41" s="54" t="n"/>
      <c r="C41" s="54" t="n"/>
      <c r="D41" s="54" t="n"/>
      <c r="E41" s="54" t="n"/>
      <c r="F41" s="54" t="n"/>
      <c r="G41" s="54" t="n"/>
      <c r="H41" s="54" t="n"/>
      <c r="I41" s="54" t="n"/>
    </row>
  </sheetData>
  <mergeCells count="21">
    <mergeCell ref="G38:I38"/>
    <mergeCell ref="A41:I41"/>
    <mergeCell ref="G37:I37"/>
    <mergeCell ref="A3:I3"/>
    <mergeCell ref="E39:F39"/>
    <mergeCell ref="A2:I2"/>
    <mergeCell ref="E38:F38"/>
    <mergeCell ref="A37:B37"/>
    <mergeCell ref="C40:D40"/>
    <mergeCell ref="E40:F40"/>
    <mergeCell ref="G40:I40"/>
    <mergeCell ref="C39:D39"/>
    <mergeCell ref="A38:B38"/>
    <mergeCell ref="C38:D38"/>
    <mergeCell ref="A36:I36"/>
    <mergeCell ref="C37:D37"/>
    <mergeCell ref="A1:I1"/>
    <mergeCell ref="G39:I39"/>
    <mergeCell ref="E37:F37"/>
    <mergeCell ref="A40:B40"/>
    <mergeCell ref="A39:B39"/>
  </mergeCells>
  <conditionalFormatting sqref="F5:F34">
    <cfRule type="expression" priority="1" dxfId="8" stopIfTrue="1">
      <formula>EXACT($F5,"Not Started")</formula>
    </cfRule>
    <cfRule type="expression" priority="2" dxfId="4" stopIfTrue="1">
      <formula>EXACT($F5,"In Progress")</formula>
    </cfRule>
    <cfRule type="expression" priority="3" dxfId="3" stopIfTrue="1">
      <formula>EXACT($F5,"Complete")</formula>
    </cfRule>
    <cfRule type="expression" priority="4" dxfId="8" stopIfTrue="1">
      <formula>EXACT($F5,"N/A")</formula>
    </cfRule>
  </conditionalFormatting>
  <conditionalFormatting sqref="E5:E34">
    <cfRule type="expression" priority="5" dxfId="5" stopIfTrue="0">
      <formula>AND($A5&lt;&gt;"",$E5&lt;&gt;"",$E5&lt;TODAY(),$F5&lt;&gt;"Complete",$F5&lt;&gt;"N/A")</formula>
    </cfRule>
    <cfRule type="expression" priority="8" dxfId="4" stopIfTrue="0">
      <formula>AND($A5&lt;&gt;"",E5="")</formula>
    </cfRule>
  </conditionalFormatting>
  <conditionalFormatting sqref="A5:A34">
    <cfRule type="expression" priority="6" dxfId="5" stopIfTrue="0">
      <formula>AND($A5&lt;&gt;"",COUNTIF($A$5:$A$34,$A5)&gt;1)</formula>
    </cfRule>
  </conditionalFormatting>
  <conditionalFormatting sqref="D5:D34">
    <cfRule type="expression" priority="7" dxfId="4" stopIfTrue="0">
      <formula>AND($A5&lt;&gt;"",D5="")</formula>
    </cfRule>
  </conditionalFormatting>
  <conditionalFormatting sqref="G38">
    <cfRule type="expression" priority="9" dxfId="5" stopIfTrue="1">
      <formula>$G$38&lt;0.5</formula>
    </cfRule>
    <cfRule type="expression" priority="10" dxfId="4" stopIfTrue="1">
      <formula>$G$38&lt;1</formula>
    </cfRule>
    <cfRule type="expression" priority="11" dxfId="3" stopIfTrue="0">
      <formula>$G$38&gt;=1</formula>
    </cfRule>
  </conditionalFormatting>
  <conditionalFormatting sqref="G40">
    <cfRule type="expression" priority="12" dxfId="3" stopIfTrue="1">
      <formula>EXACT($G40,"CLOSED")</formula>
    </cfRule>
    <cfRule type="expression" priority="13" dxfId="4" stopIfTrue="1">
      <formula>EXACT($G40,"ON TRACK")</formula>
    </cfRule>
    <cfRule type="expression" priority="14" dxfId="5" stopIfTrue="1">
      <formula>EXACT($G40,"AT RISK")</formula>
    </cfRule>
  </conditionalFormatting>
  <dataValidations count="3">
    <dataValidation sqref="B5:B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D5:D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F5:F34" showDropDown="0" showInputMessage="1" showErrorMessage="1" allowBlank="1" errorTitle="Value not allowed" error="Pick a value from the drop-down list (L_ClosureStatus)." promptTitle="Select" prompt="Choose a value from the drop-down list." type="list" errorStyle="stop">
      <formula1>L_ClosureStatus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M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16" customWidth="1" min="4" max="4"/>
    <col width="32" customWidth="1" min="5" max="5"/>
    <col width="32" customWidth="1" min="6" max="6"/>
    <col width="30" customWidth="1" min="7" max="7"/>
    <col width="32" customWidth="1" min="8" max="8"/>
    <col width="32" customWidth="1" min="9" max="9"/>
    <col width="16" customWidth="1" min="10" max="10"/>
    <col width="28" customWidth="1" min="11" max="11"/>
    <col width="14" customWidth="1" min="12" max="12"/>
    <col width="22" customWidth="1" min="13" max="13"/>
  </cols>
  <sheetData>
    <row r="1" ht="32" customHeight="1">
      <c r="A1" s="1" t="inlineStr">
        <is>
          <t>LESSONS LEARNED</t>
        </is>
      </c>
    </row>
    <row r="2" ht="17" customHeight="1">
      <c r="A2" s="2" t="inlineStr">
        <is>
          <t>What went well, what did not, why, and the action that stops it happening again. Reviewed at every monthly portfolio meeting.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Lesson ID</t>
        </is>
      </c>
      <c r="B4" s="64" t="inlineStr">
        <is>
          <t>Project</t>
        </is>
      </c>
      <c r="C4" s="64" t="inlineStr">
        <is>
          <t>Date</t>
        </is>
      </c>
      <c r="D4" s="64" t="inlineStr">
        <is>
          <t>Area</t>
        </is>
      </c>
      <c r="E4" s="64" t="inlineStr">
        <is>
          <t>What Went Well</t>
        </is>
      </c>
      <c r="F4" s="64" t="inlineStr">
        <is>
          <t>What Went Wrong</t>
        </is>
      </c>
      <c r="G4" s="64" t="inlineStr">
        <is>
          <t>Root Cause</t>
        </is>
      </c>
      <c r="H4" s="64" t="inlineStr">
        <is>
          <t>Lesson</t>
        </is>
      </c>
      <c r="I4" s="64" t="inlineStr">
        <is>
          <t>Recommendation</t>
        </is>
      </c>
      <c r="J4" s="64" t="inlineStr">
        <is>
          <t>Owner</t>
        </is>
      </c>
      <c r="K4" s="64" t="inlineStr">
        <is>
          <t>Action</t>
        </is>
      </c>
      <c r="L4" s="64" t="inlineStr">
        <is>
          <t>Status</t>
        </is>
      </c>
      <c r="M4" s="64" t="inlineStr">
        <is>
          <t>Notes</t>
        </is>
      </c>
    </row>
    <row r="5" ht="28" customHeight="1">
      <c r="A5" s="65" t="inlineStr">
        <is>
          <t>LL-001</t>
        </is>
      </c>
      <c r="B5" s="65" t="inlineStr">
        <is>
          <t>Payroll Reporting Portal</t>
        </is>
      </c>
      <c r="C5" s="66" t="n">
        <v>46295</v>
      </c>
      <c r="D5" s="65" t="inlineStr">
        <is>
          <t>Requirements</t>
        </is>
      </c>
      <c r="E5" s="70" t="inlineStr">
        <is>
          <t>Weekly business owner sessions kept scope stable</t>
        </is>
      </c>
      <c r="F5" s="70" t="inlineStr">
        <is>
          <t>Initial requirements took 6 weeks</t>
        </is>
      </c>
      <c r="G5" s="70" t="inlineStr">
        <is>
          <t>No process owner assigned at the start</t>
        </is>
      </c>
      <c r="H5" s="70" t="inlineStr">
        <is>
          <t>Assign a process owner before requirements start</t>
        </is>
      </c>
      <c r="I5" s="70" t="inlineStr">
        <is>
          <t>Make process owner a charter gate for every project</t>
        </is>
      </c>
      <c r="J5" s="65" t="inlineStr">
        <is>
          <t>Priya Raman</t>
        </is>
      </c>
      <c r="K5" s="70" t="inlineStr">
        <is>
          <t>Add to project charter template</t>
        </is>
      </c>
      <c r="L5" s="65" t="inlineStr">
        <is>
          <t>Complete</t>
        </is>
      </c>
      <c r="M5" s="70" t="inlineStr">
        <is>
          <t>SAMPLE</t>
        </is>
      </c>
    </row>
    <row r="6" ht="28" customHeight="1">
      <c r="A6" s="65" t="inlineStr">
        <is>
          <t>LL-002</t>
        </is>
      </c>
      <c r="B6" s="65" t="inlineStr">
        <is>
          <t>Network Infrastructure Upgrade</t>
        </is>
      </c>
      <c r="C6" s="66" t="n">
        <v>46298</v>
      </c>
      <c r="D6" s="65" t="inlineStr">
        <is>
          <t>Vendor</t>
        </is>
      </c>
      <c r="E6" s="70" t="inlineStr">
        <is>
          <t>Early quotation request kept lead times short</t>
        </is>
      </c>
      <c r="F6" s="70" t="inlineStr">
        <is>
          <t>Cable delivery was late by one week</t>
        </is>
      </c>
      <c r="G6" s="70" t="inlineStr">
        <is>
          <t>Lead times not checked before planning</t>
        </is>
      </c>
      <c r="H6" s="70" t="inlineStr">
        <is>
          <t>Confirm supplier lead times during planning</t>
        </is>
      </c>
      <c r="I6" s="70" t="inlineStr">
        <is>
          <t>Add lead-time confirmation to the initiation checklist</t>
        </is>
      </c>
      <c r="J6" s="65" t="inlineStr">
        <is>
          <t>Lisa Chen</t>
        </is>
      </c>
      <c r="K6" s="70" t="inlineStr">
        <is>
          <t>Update initiation checklist</t>
        </is>
      </c>
      <c r="L6" s="65" t="inlineStr">
        <is>
          <t>In Progress</t>
        </is>
      </c>
      <c r="M6" s="70" t="inlineStr">
        <is>
          <t>SAMPLE</t>
        </is>
      </c>
    </row>
    <row r="7" ht="28" customHeight="1">
      <c r="A7" s="65" t="inlineStr">
        <is>
          <t>LL-003</t>
        </is>
      </c>
      <c r="B7" s="65" t="inlineStr">
        <is>
          <t>ERP Implementation</t>
        </is>
      </c>
      <c r="C7" s="66" t="n">
        <v>46301</v>
      </c>
      <c r="D7" s="65" t="inlineStr">
        <is>
          <t>Risk</t>
        </is>
      </c>
      <c r="E7" s="70" t="inlineStr">
        <is>
          <t>Daily stand-ups surfaced blockers quickly</t>
        </is>
      </c>
      <c r="F7" s="70" t="inlineStr">
        <is>
          <t>UAT environment slipped</t>
        </is>
      </c>
      <c r="G7" s="70" t="inlineStr">
        <is>
          <t>Environments not ordered early</t>
        </is>
      </c>
      <c r="H7" s="70" t="inlineStr">
        <is>
          <t>Order test environments at design sign-off</t>
        </is>
      </c>
      <c r="I7" s="70" t="inlineStr">
        <is>
          <t>Add environment request as a design exit criterion</t>
        </is>
      </c>
      <c r="J7" s="65" t="inlineStr">
        <is>
          <t>Ahmed Khan</t>
        </is>
      </c>
      <c r="K7" s="70" t="inlineStr">
        <is>
          <t>Update design exit criteria</t>
        </is>
      </c>
      <c r="L7" s="65" t="inlineStr">
        <is>
          <t>Open</t>
        </is>
      </c>
      <c r="M7" s="70" t="inlineStr">
        <is>
          <t>SAMPLE</t>
        </is>
      </c>
    </row>
    <row r="8" ht="28" customHeight="1">
      <c r="A8" s="65" t="inlineStr">
        <is>
          <t>LL-004</t>
        </is>
      </c>
      <c r="B8" s="65" t="inlineStr">
        <is>
          <t>Website Development</t>
        </is>
      </c>
      <c r="C8" s="66" t="n">
        <v>46300</v>
      </c>
      <c r="D8" s="65" t="inlineStr">
        <is>
          <t>Communication</t>
        </is>
      </c>
      <c r="E8" s="70" t="inlineStr">
        <is>
          <t>Marketing weekly demo kept users engaged</t>
        </is>
      </c>
      <c r="F8" s="70" t="inlineStr">
        <is>
          <t>Project paused for content approval</t>
        </is>
      </c>
      <c r="G8" s="70" t="inlineStr">
        <is>
          <t>Content owner not named</t>
        </is>
      </c>
      <c r="H8" s="70" t="inlineStr">
        <is>
          <t>Name content owners in the communication plan</t>
        </is>
      </c>
      <c r="I8" s="70" t="inlineStr">
        <is>
          <t>Require content owner in charter</t>
        </is>
      </c>
      <c r="J8" s="65" t="inlineStr">
        <is>
          <t>Maria Silva</t>
        </is>
      </c>
      <c r="K8" s="70" t="inlineStr">
        <is>
          <t>Update communication plan template</t>
        </is>
      </c>
      <c r="L8" s="65" t="inlineStr">
        <is>
          <t>In Progress</t>
        </is>
      </c>
      <c r="M8" s="70" t="inlineStr">
        <is>
          <t>SAMPLE</t>
        </is>
      </c>
    </row>
    <row r="9" ht="28" customHeight="1">
      <c r="A9" s="65" t="n"/>
      <c r="B9" s="65" t="n"/>
      <c r="C9" s="66" t="n"/>
      <c r="D9" s="65" t="n"/>
      <c r="E9" s="70" t="n"/>
      <c r="F9" s="70" t="n"/>
      <c r="G9" s="70" t="n"/>
      <c r="H9" s="70" t="n"/>
      <c r="I9" s="70" t="n"/>
      <c r="J9" s="65" t="n"/>
      <c r="K9" s="70" t="n"/>
      <c r="L9" s="65" t="n"/>
      <c r="M9" s="70" t="n"/>
    </row>
    <row r="10" ht="28" customHeight="1">
      <c r="A10" s="65" t="n"/>
      <c r="B10" s="65" t="n"/>
      <c r="C10" s="66" t="n"/>
      <c r="D10" s="65" t="n"/>
      <c r="E10" s="70" t="n"/>
      <c r="F10" s="70" t="n"/>
      <c r="G10" s="70" t="n"/>
      <c r="H10" s="70" t="n"/>
      <c r="I10" s="70" t="n"/>
      <c r="J10" s="65" t="n"/>
      <c r="K10" s="70" t="n"/>
      <c r="L10" s="65" t="n"/>
      <c r="M10" s="70" t="n"/>
    </row>
    <row r="11" ht="28" customHeight="1">
      <c r="A11" s="65" t="n"/>
      <c r="B11" s="65" t="n"/>
      <c r="C11" s="66" t="n"/>
      <c r="D11" s="65" t="n"/>
      <c r="E11" s="70" t="n"/>
      <c r="F11" s="70" t="n"/>
      <c r="G11" s="70" t="n"/>
      <c r="H11" s="70" t="n"/>
      <c r="I11" s="70" t="n"/>
      <c r="J11" s="65" t="n"/>
      <c r="K11" s="70" t="n"/>
      <c r="L11" s="65" t="n"/>
      <c r="M11" s="70" t="n"/>
    </row>
    <row r="12" ht="28" customHeight="1">
      <c r="A12" s="65" t="n"/>
      <c r="B12" s="65" t="n"/>
      <c r="C12" s="66" t="n"/>
      <c r="D12" s="65" t="n"/>
      <c r="E12" s="70" t="n"/>
      <c r="F12" s="70" t="n"/>
      <c r="G12" s="70" t="n"/>
      <c r="H12" s="70" t="n"/>
      <c r="I12" s="70" t="n"/>
      <c r="J12" s="65" t="n"/>
      <c r="K12" s="70" t="n"/>
      <c r="L12" s="65" t="n"/>
      <c r="M12" s="70" t="n"/>
    </row>
    <row r="13" ht="28" customHeight="1">
      <c r="A13" s="65" t="n"/>
      <c r="B13" s="65" t="n"/>
      <c r="C13" s="66" t="n"/>
      <c r="D13" s="65" t="n"/>
      <c r="E13" s="70" t="n"/>
      <c r="F13" s="70" t="n"/>
      <c r="G13" s="70" t="n"/>
      <c r="H13" s="70" t="n"/>
      <c r="I13" s="70" t="n"/>
      <c r="J13" s="65" t="n"/>
      <c r="K13" s="70" t="n"/>
      <c r="L13" s="65" t="n"/>
      <c r="M13" s="70" t="n"/>
    </row>
    <row r="14" ht="28" customHeight="1">
      <c r="A14" s="65" t="n"/>
      <c r="B14" s="65" t="n"/>
      <c r="C14" s="66" t="n"/>
      <c r="D14" s="65" t="n"/>
      <c r="E14" s="70" t="n"/>
      <c r="F14" s="70" t="n"/>
      <c r="G14" s="70" t="n"/>
      <c r="H14" s="70" t="n"/>
      <c r="I14" s="70" t="n"/>
      <c r="J14" s="65" t="n"/>
      <c r="K14" s="70" t="n"/>
      <c r="L14" s="65" t="n"/>
      <c r="M14" s="70" t="n"/>
    </row>
    <row r="15" ht="28" customHeight="1">
      <c r="A15" s="65" t="n"/>
      <c r="B15" s="65" t="n"/>
      <c r="C15" s="66" t="n"/>
      <c r="D15" s="65" t="n"/>
      <c r="E15" s="70" t="n"/>
      <c r="F15" s="70" t="n"/>
      <c r="G15" s="70" t="n"/>
      <c r="H15" s="70" t="n"/>
      <c r="I15" s="70" t="n"/>
      <c r="J15" s="65" t="n"/>
      <c r="K15" s="70" t="n"/>
      <c r="L15" s="65" t="n"/>
      <c r="M15" s="70" t="n"/>
    </row>
    <row r="16" ht="28" customHeight="1">
      <c r="A16" s="65" t="n"/>
      <c r="B16" s="65" t="n"/>
      <c r="C16" s="66" t="n"/>
      <c r="D16" s="65" t="n"/>
      <c r="E16" s="70" t="n"/>
      <c r="F16" s="70" t="n"/>
      <c r="G16" s="70" t="n"/>
      <c r="H16" s="70" t="n"/>
      <c r="I16" s="70" t="n"/>
      <c r="J16" s="65" t="n"/>
      <c r="K16" s="70" t="n"/>
      <c r="L16" s="65" t="n"/>
      <c r="M16" s="70" t="n"/>
    </row>
    <row r="17" ht="28" customHeight="1">
      <c r="A17" s="65" t="n"/>
      <c r="B17" s="65" t="n"/>
      <c r="C17" s="66" t="n"/>
      <c r="D17" s="65" t="n"/>
      <c r="E17" s="70" t="n"/>
      <c r="F17" s="70" t="n"/>
      <c r="G17" s="70" t="n"/>
      <c r="H17" s="70" t="n"/>
      <c r="I17" s="70" t="n"/>
      <c r="J17" s="65" t="n"/>
      <c r="K17" s="70" t="n"/>
      <c r="L17" s="65" t="n"/>
      <c r="M17" s="70" t="n"/>
    </row>
    <row r="18" ht="28" customHeight="1">
      <c r="A18" s="65" t="n"/>
      <c r="B18" s="65" t="n"/>
      <c r="C18" s="66" t="n"/>
      <c r="D18" s="65" t="n"/>
      <c r="E18" s="70" t="n"/>
      <c r="F18" s="70" t="n"/>
      <c r="G18" s="70" t="n"/>
      <c r="H18" s="70" t="n"/>
      <c r="I18" s="70" t="n"/>
      <c r="J18" s="65" t="n"/>
      <c r="K18" s="70" t="n"/>
      <c r="L18" s="65" t="n"/>
      <c r="M18" s="70" t="n"/>
    </row>
    <row r="19" ht="28" customHeight="1">
      <c r="A19" s="65" t="n"/>
      <c r="B19" s="65" t="n"/>
      <c r="C19" s="66" t="n"/>
      <c r="D19" s="65" t="n"/>
      <c r="E19" s="70" t="n"/>
      <c r="F19" s="70" t="n"/>
      <c r="G19" s="70" t="n"/>
      <c r="H19" s="70" t="n"/>
      <c r="I19" s="70" t="n"/>
      <c r="J19" s="65" t="n"/>
      <c r="K19" s="70" t="n"/>
      <c r="L19" s="65" t="n"/>
      <c r="M19" s="70" t="n"/>
    </row>
    <row r="20" ht="28" customHeight="1">
      <c r="A20" s="65" t="n"/>
      <c r="B20" s="65" t="n"/>
      <c r="C20" s="66" t="n"/>
      <c r="D20" s="65" t="n"/>
      <c r="E20" s="70" t="n"/>
      <c r="F20" s="70" t="n"/>
      <c r="G20" s="70" t="n"/>
      <c r="H20" s="70" t="n"/>
      <c r="I20" s="70" t="n"/>
      <c r="J20" s="65" t="n"/>
      <c r="K20" s="70" t="n"/>
      <c r="L20" s="65" t="n"/>
      <c r="M20" s="70" t="n"/>
    </row>
    <row r="21" ht="28" customHeight="1">
      <c r="A21" s="65" t="n"/>
      <c r="B21" s="65" t="n"/>
      <c r="C21" s="66" t="n"/>
      <c r="D21" s="65" t="n"/>
      <c r="E21" s="70" t="n"/>
      <c r="F21" s="70" t="n"/>
      <c r="G21" s="70" t="n"/>
      <c r="H21" s="70" t="n"/>
      <c r="I21" s="70" t="n"/>
      <c r="J21" s="65" t="n"/>
      <c r="K21" s="70" t="n"/>
      <c r="L21" s="65" t="n"/>
      <c r="M21" s="70" t="n"/>
    </row>
    <row r="22" ht="28" customHeight="1">
      <c r="A22" s="65" t="n"/>
      <c r="B22" s="65" t="n"/>
      <c r="C22" s="66" t="n"/>
      <c r="D22" s="65" t="n"/>
      <c r="E22" s="70" t="n"/>
      <c r="F22" s="70" t="n"/>
      <c r="G22" s="70" t="n"/>
      <c r="H22" s="70" t="n"/>
      <c r="I22" s="70" t="n"/>
      <c r="J22" s="65" t="n"/>
      <c r="K22" s="70" t="n"/>
      <c r="L22" s="65" t="n"/>
      <c r="M22" s="70" t="n"/>
    </row>
    <row r="23" ht="28" customHeight="1">
      <c r="A23" s="65" t="n"/>
      <c r="B23" s="65" t="n"/>
      <c r="C23" s="66" t="n"/>
      <c r="D23" s="65" t="n"/>
      <c r="E23" s="70" t="n"/>
      <c r="F23" s="70" t="n"/>
      <c r="G23" s="70" t="n"/>
      <c r="H23" s="70" t="n"/>
      <c r="I23" s="70" t="n"/>
      <c r="J23" s="65" t="n"/>
      <c r="K23" s="70" t="n"/>
      <c r="L23" s="65" t="n"/>
      <c r="M23" s="70" t="n"/>
    </row>
    <row r="24" ht="28" customHeight="1">
      <c r="A24" s="65" t="n"/>
      <c r="B24" s="65" t="n"/>
      <c r="C24" s="66" t="n"/>
      <c r="D24" s="65" t="n"/>
      <c r="E24" s="70" t="n"/>
      <c r="F24" s="70" t="n"/>
      <c r="G24" s="70" t="n"/>
      <c r="H24" s="70" t="n"/>
      <c r="I24" s="70" t="n"/>
      <c r="J24" s="65" t="n"/>
      <c r="K24" s="70" t="n"/>
      <c r="L24" s="65" t="n"/>
      <c r="M24" s="70" t="n"/>
    </row>
    <row r="25" ht="28" customHeight="1">
      <c r="A25" s="65" t="n"/>
      <c r="B25" s="65" t="n"/>
      <c r="C25" s="66" t="n"/>
      <c r="D25" s="65" t="n"/>
      <c r="E25" s="70" t="n"/>
      <c r="F25" s="70" t="n"/>
      <c r="G25" s="70" t="n"/>
      <c r="H25" s="70" t="n"/>
      <c r="I25" s="70" t="n"/>
      <c r="J25" s="65" t="n"/>
      <c r="K25" s="70" t="n"/>
      <c r="L25" s="65" t="n"/>
      <c r="M25" s="70" t="n"/>
    </row>
    <row r="26" ht="28" customHeight="1">
      <c r="A26" s="65" t="n"/>
      <c r="B26" s="65" t="n"/>
      <c r="C26" s="66" t="n"/>
      <c r="D26" s="65" t="n"/>
      <c r="E26" s="70" t="n"/>
      <c r="F26" s="70" t="n"/>
      <c r="G26" s="70" t="n"/>
      <c r="H26" s="70" t="n"/>
      <c r="I26" s="70" t="n"/>
      <c r="J26" s="65" t="n"/>
      <c r="K26" s="70" t="n"/>
      <c r="L26" s="65" t="n"/>
      <c r="M26" s="70" t="n"/>
    </row>
    <row r="27" ht="28" customHeight="1">
      <c r="A27" s="65" t="n"/>
      <c r="B27" s="65" t="n"/>
      <c r="C27" s="66" t="n"/>
      <c r="D27" s="65" t="n"/>
      <c r="E27" s="70" t="n"/>
      <c r="F27" s="70" t="n"/>
      <c r="G27" s="70" t="n"/>
      <c r="H27" s="70" t="n"/>
      <c r="I27" s="70" t="n"/>
      <c r="J27" s="65" t="n"/>
      <c r="K27" s="70" t="n"/>
      <c r="L27" s="65" t="n"/>
      <c r="M27" s="70" t="n"/>
    </row>
    <row r="28" ht="28" customHeight="1">
      <c r="A28" s="65" t="n"/>
      <c r="B28" s="65" t="n"/>
      <c r="C28" s="66" t="n"/>
      <c r="D28" s="65" t="n"/>
      <c r="E28" s="70" t="n"/>
      <c r="F28" s="70" t="n"/>
      <c r="G28" s="70" t="n"/>
      <c r="H28" s="70" t="n"/>
      <c r="I28" s="70" t="n"/>
      <c r="J28" s="65" t="n"/>
      <c r="K28" s="70" t="n"/>
      <c r="L28" s="65" t="n"/>
      <c r="M28" s="70" t="n"/>
    </row>
    <row r="29" ht="28" customHeight="1">
      <c r="A29" s="65" t="n"/>
      <c r="B29" s="65" t="n"/>
      <c r="C29" s="66" t="n"/>
      <c r="D29" s="65" t="n"/>
      <c r="E29" s="70" t="n"/>
      <c r="F29" s="70" t="n"/>
      <c r="G29" s="70" t="n"/>
      <c r="H29" s="70" t="n"/>
      <c r="I29" s="70" t="n"/>
      <c r="J29" s="65" t="n"/>
      <c r="K29" s="70" t="n"/>
      <c r="L29" s="65" t="n"/>
      <c r="M29" s="70" t="n"/>
    </row>
    <row r="30" ht="28" customHeight="1">
      <c r="A30" s="65" t="n"/>
      <c r="B30" s="65" t="n"/>
      <c r="C30" s="66" t="n"/>
      <c r="D30" s="65" t="n"/>
      <c r="E30" s="70" t="n"/>
      <c r="F30" s="70" t="n"/>
      <c r="G30" s="70" t="n"/>
      <c r="H30" s="70" t="n"/>
      <c r="I30" s="70" t="n"/>
      <c r="J30" s="65" t="n"/>
      <c r="K30" s="70" t="n"/>
      <c r="L30" s="65" t="n"/>
      <c r="M30" s="70" t="n"/>
    </row>
    <row r="31" ht="28" customHeight="1">
      <c r="A31" s="65" t="n"/>
      <c r="B31" s="65" t="n"/>
      <c r="C31" s="66" t="n"/>
      <c r="D31" s="65" t="n"/>
      <c r="E31" s="70" t="n"/>
      <c r="F31" s="70" t="n"/>
      <c r="G31" s="70" t="n"/>
      <c r="H31" s="70" t="n"/>
      <c r="I31" s="70" t="n"/>
      <c r="J31" s="65" t="n"/>
      <c r="K31" s="70" t="n"/>
      <c r="L31" s="65" t="n"/>
      <c r="M31" s="70" t="n"/>
    </row>
    <row r="32" ht="28" customHeight="1">
      <c r="A32" s="65" t="n"/>
      <c r="B32" s="65" t="n"/>
      <c r="C32" s="66" t="n"/>
      <c r="D32" s="65" t="n"/>
      <c r="E32" s="70" t="n"/>
      <c r="F32" s="70" t="n"/>
      <c r="G32" s="70" t="n"/>
      <c r="H32" s="70" t="n"/>
      <c r="I32" s="70" t="n"/>
      <c r="J32" s="65" t="n"/>
      <c r="K32" s="70" t="n"/>
      <c r="L32" s="65" t="n"/>
      <c r="M32" s="70" t="n"/>
    </row>
    <row r="33" ht="28" customHeight="1">
      <c r="A33" s="65" t="n"/>
      <c r="B33" s="65" t="n"/>
      <c r="C33" s="66" t="n"/>
      <c r="D33" s="65" t="n"/>
      <c r="E33" s="70" t="n"/>
      <c r="F33" s="70" t="n"/>
      <c r="G33" s="70" t="n"/>
      <c r="H33" s="70" t="n"/>
      <c r="I33" s="70" t="n"/>
      <c r="J33" s="65" t="n"/>
      <c r="K33" s="70" t="n"/>
      <c r="L33" s="65" t="n"/>
      <c r="M33" s="70" t="n"/>
    </row>
    <row r="34" ht="28" customHeight="1">
      <c r="A34" s="65" t="n"/>
      <c r="B34" s="65" t="n"/>
      <c r="C34" s="66" t="n"/>
      <c r="D34" s="65" t="n"/>
      <c r="E34" s="70" t="n"/>
      <c r="F34" s="70" t="n"/>
      <c r="G34" s="70" t="n"/>
      <c r="H34" s="70" t="n"/>
      <c r="I34" s="70" t="n"/>
      <c r="J34" s="65" t="n"/>
      <c r="K34" s="70" t="n"/>
      <c r="L34" s="65" t="n"/>
      <c r="M34" s="70" t="n"/>
    </row>
  </sheetData>
  <mergeCells count="3">
    <mergeCell ref="A3:M3"/>
    <mergeCell ref="A2:M2"/>
    <mergeCell ref="A1:M1"/>
  </mergeCells>
  <conditionalFormatting sqref="L5:L34">
    <cfRule type="expression" priority="1" dxfId="8" stopIfTrue="1">
      <formula>EXACT($L5,"Open")</formula>
    </cfRule>
    <cfRule type="expression" priority="2" dxfId="4" stopIfTrue="1">
      <formula>EXACT($L5,"In Progress")</formula>
    </cfRule>
    <cfRule type="expression" priority="3" dxfId="3" stopIfTrue="1">
      <formula>EXACT($L5,"Complete")</formula>
    </cfRule>
    <cfRule type="expression" priority="4" dxfId="8" stopIfTrue="1">
      <formula>EXACT($L5,"Cancelled")</formula>
    </cfRule>
  </conditionalFormatting>
  <conditionalFormatting sqref="A5:A34">
    <cfRule type="expression" priority="5" dxfId="5" stopIfTrue="0">
      <formula>AND($A5&lt;&gt;"",COUNTIF($A$5:$A$34,$A5)&gt;1)</formula>
    </cfRule>
  </conditionalFormatting>
  <conditionalFormatting sqref="J5:J34">
    <cfRule type="expression" priority="6" dxfId="4" stopIfTrue="0">
      <formula>AND($A5&lt;&gt;"",J5="")</formula>
    </cfRule>
  </conditionalFormatting>
  <dataValidations count="4">
    <dataValidation sqref="B5:B34" showDropDown="0" showInputMessage="1" showErrorMessage="1" allowBlank="1" errorTitle="Value not allowed" error="Pick a value from the drop-down list (L_Projects)." promptTitle="Select" prompt="Choose a value from the drop-down list." type="list" errorStyle="stop">
      <formula1>L_Projects</formula1>
    </dataValidation>
    <dataValidation sqref="D5:D34" showDropDown="0" showInputMessage="1" showErrorMessage="1" allowBlank="1" errorTitle="Value not allowed" error="Pick a value from the drop-down list (L_LessonArea)." promptTitle="Select" prompt="Choose a value from the drop-down list." type="list" errorStyle="stop">
      <formula1>L_LessonArea</formula1>
    </dataValidation>
    <dataValidation sqref="J5:J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L5:L34" showDropDown="0" showInputMessage="1" showErrorMessage="1" allowBlank="1" errorTitle="Value not allowed" error="Pick a value from the drop-down list (L_ActionStatus)." promptTitle="Select" prompt="Choose a value from the drop-down list." type="list" errorStyle="stop">
      <formula1>L_ActionStatus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56" customWidth="1" min="3" max="3"/>
    <col width="34" customWidth="1" min="4" max="4"/>
    <col width="18" customWidth="1" min="5" max="5"/>
  </cols>
  <sheetData>
    <row r="1" ht="32" customHeight="1">
      <c r="A1" s="1" t="inlineStr">
        <is>
          <t>PMO STANDARD OPERATING PROCEDURES</t>
        </is>
      </c>
    </row>
    <row r="2" ht="17" customHeight="1">
      <c r="A2" s="2" t="inlineStr">
        <is>
          <t>The cadence that keeps the system honest: daily hygiene, the weekly reporting cycle and the monthly governance rhythm.</t>
        </is>
      </c>
    </row>
    <row r="3" ht="15" customHeight="1">
      <c r="A3" s="3" t="inlineStr">
        <is>
          <t>Print this sheet and keep it next to the workbook. If the routine stops, the dashboard stops being true.</t>
        </is>
      </c>
    </row>
    <row r="4" ht="8" customHeight="1"/>
    <row r="5" ht="20" customHeight="1">
      <c r="A5" s="6" t="inlineStr">
        <is>
          <t>DAILY ROUTINE</t>
        </is>
      </c>
    </row>
    <row r="6" ht="26" customHeight="1">
      <c r="A6" s="64" t="inlineStr">
        <is>
          <t>WHEN</t>
        </is>
      </c>
      <c r="B6" s="64" t="inlineStr">
        <is>
          <t>ACTIVITY</t>
        </is>
      </c>
      <c r="C6" s="64" t="inlineStr">
        <is>
          <t>WHAT GOOD LOOKS LIKE</t>
        </is>
      </c>
      <c r="D6" s="64" t="inlineStr">
        <is>
          <t>OUTPUT</t>
        </is>
      </c>
      <c r="E6" s="64" t="inlineStr">
        <is>
          <t>OWNER</t>
        </is>
      </c>
    </row>
    <row r="7" ht="28" customHeight="1">
      <c r="A7" s="96" t="inlineStr">
        <is>
          <t>09:00</t>
        </is>
      </c>
      <c r="B7" s="97" t="inlineStr">
        <is>
          <t>Portfolio sweep</t>
        </is>
      </c>
      <c r="C7" s="98" t="inlineStr">
        <is>
          <t>Open the executive dashboard and read the headline strip, overdue actions and red projects</t>
        </is>
      </c>
      <c r="D7" s="98" t="inlineStr">
        <is>
          <t>List of today's chases</t>
        </is>
      </c>
      <c r="E7" s="98" t="inlineStr">
        <is>
          <t>Assistant PMO</t>
        </is>
      </c>
    </row>
    <row r="8" ht="28" customHeight="1">
      <c r="A8" s="96" t="inlineStr">
        <is>
          <t>09:15</t>
        </is>
      </c>
      <c r="B8" s="97" t="inlineStr">
        <is>
          <t>Team stand-up</t>
        </is>
      </c>
      <c r="C8" s="98" t="inlineStr">
        <is>
          <t>Capture every blocker as an action with one owner and one due date</t>
        </is>
      </c>
      <c r="D8" s="98" t="inlineStr">
        <is>
          <t>Actions logged in 07_ACTION_TRACKER</t>
        </is>
      </c>
      <c r="E8" s="98" t="inlineStr">
        <is>
          <t>Project Manager</t>
        </is>
      </c>
    </row>
    <row r="9" ht="28" customHeight="1">
      <c r="A9" s="96" t="inlineStr">
        <is>
          <t>10:00</t>
        </is>
      </c>
      <c r="B9" s="97" t="inlineStr">
        <is>
          <t>Action chasing</t>
        </is>
      </c>
      <c r="C9" s="98" t="inlineStr">
        <is>
          <t>Chase every action due today or overdue; update status in the tracker</t>
        </is>
      </c>
      <c r="D9" s="98" t="inlineStr">
        <is>
          <t>Action statuses refreshed</t>
        </is>
      </c>
      <c r="E9" s="98" t="inlineStr">
        <is>
          <t>Assistant PMO</t>
        </is>
      </c>
    </row>
    <row r="10" ht="28" customHeight="1">
      <c r="A10" s="96" t="inlineStr">
        <is>
          <t>11:00</t>
        </is>
      </c>
      <c r="B10" s="97" t="inlineStr">
        <is>
          <t>RAID review</t>
        </is>
      </c>
      <c r="C10" s="98" t="inlineStr">
        <is>
          <t>Update open risks and issues, re-score anything that changed</t>
        </is>
      </c>
      <c r="D10" s="98" t="inlineStr">
        <is>
          <t>RAID log current</t>
        </is>
      </c>
      <c r="E10" s="98" t="inlineStr">
        <is>
          <t>Assistant PMO</t>
        </is>
      </c>
    </row>
    <row r="11" ht="28" customHeight="1">
      <c r="A11" s="96" t="inlineStr">
        <is>
          <t>14:00</t>
        </is>
      </c>
      <c r="B11" s="97" t="inlineStr">
        <is>
          <t>Data quality</t>
        </is>
      </c>
      <c r="C11" s="98" t="inlineStr">
        <is>
          <t>Check duplicate IDs, missing owners and missing dates flagged red or amber in the registers</t>
        </is>
      </c>
      <c r="D11" s="98" t="inlineStr">
        <is>
          <t>Clean registers</t>
        </is>
      </c>
      <c r="E11" s="98" t="inlineStr">
        <is>
          <t>Assistant PMO</t>
        </is>
      </c>
    </row>
    <row r="12" ht="28" customHeight="1">
      <c r="A12" s="96" t="inlineStr">
        <is>
          <t>16:00</t>
        </is>
      </c>
      <c r="B12" s="97" t="inlineStr">
        <is>
          <t>Change control</t>
        </is>
      </c>
      <c r="C12" s="98" t="inlineStr">
        <is>
          <t>Check the compliance column: no change may be implemented without approval</t>
        </is>
      </c>
      <c r="D12" s="98" t="inlineStr">
        <is>
          <t>Compliance column = OK</t>
        </is>
      </c>
      <c r="E12" s="98" t="inlineStr">
        <is>
          <t>Assistant PMO</t>
        </is>
      </c>
    </row>
    <row r="13" ht="28" customHeight="1">
      <c r="A13" s="96" t="inlineStr">
        <is>
          <t>17:00</t>
        </is>
      </c>
      <c r="B13" s="97" t="inlineStr">
        <is>
          <t>Tomorrow's plan</t>
        </is>
      </c>
      <c r="C13" s="98" t="inlineStr">
        <is>
          <t>Note the meetings, decisions and deliveries due tomorrow</t>
        </is>
      </c>
      <c r="D13" s="98" t="inlineStr">
        <is>
          <t>Prepared day plan</t>
        </is>
      </c>
      <c r="E13" s="98" t="inlineStr">
        <is>
          <t>Assistant PMO</t>
        </is>
      </c>
    </row>
    <row r="14" ht="8" customHeight="1"/>
    <row r="15" ht="20" customHeight="1">
      <c r="A15" s="6" t="inlineStr">
        <is>
          <t>WEEKLY ROUTINE</t>
        </is>
      </c>
    </row>
    <row r="16" ht="26" customHeight="1">
      <c r="A16" s="64" t="inlineStr">
        <is>
          <t>WHEN</t>
        </is>
      </c>
      <c r="B16" s="64" t="inlineStr">
        <is>
          <t>ACTIVITY</t>
        </is>
      </c>
      <c r="C16" s="64" t="inlineStr">
        <is>
          <t>WHAT GOOD LOOKS LIKE</t>
        </is>
      </c>
      <c r="D16" s="64" t="inlineStr">
        <is>
          <t>OUTPUT</t>
        </is>
      </c>
      <c r="E16" s="64" t="inlineStr">
        <is>
          <t>OWNER</t>
        </is>
      </c>
    </row>
    <row r="17" ht="28" customHeight="1">
      <c r="A17" s="96" t="inlineStr">
        <is>
          <t>Monday 10:00</t>
        </is>
      </c>
      <c r="B17" s="97" t="inlineStr">
        <is>
          <t>Project manager call</t>
        </is>
      </c>
      <c r="C17" s="98" t="inlineStr">
        <is>
          <t>Each PM reports status, next milestone, top risk and the help they need</t>
        </is>
      </c>
      <c r="D17" s="98" t="inlineStr">
        <is>
          <t>Status inputs from every PM</t>
        </is>
      </c>
      <c r="E17" s="98" t="inlineStr">
        <is>
          <t>Assistant PMO</t>
        </is>
      </c>
    </row>
    <row r="18" ht="28" customHeight="1">
      <c r="A18" s="96" t="inlineStr">
        <is>
          <t>Tuesday</t>
        </is>
      </c>
      <c r="B18" s="97" t="inlineStr">
        <is>
          <t>Register refresh</t>
        </is>
      </c>
      <c r="C18" s="98" t="inlineStr">
        <is>
          <t>Update portfolio, milestones, cost and actions from PM inputs</t>
        </is>
      </c>
      <c r="D18" s="98" t="inlineStr">
        <is>
          <t>Registers current for the week</t>
        </is>
      </c>
      <c r="E18" s="98" t="inlineStr">
        <is>
          <t>Assistant PMO</t>
        </is>
      </c>
    </row>
    <row r="19" ht="28" customHeight="1">
      <c r="A19" s="96" t="inlineStr">
        <is>
          <t>Wednesday</t>
        </is>
      </c>
      <c r="B19" s="97" t="inlineStr">
        <is>
          <t>Quality and procurement check</t>
        </is>
      </c>
      <c r="C19" s="98" t="inlineStr">
        <is>
          <t>Review quality results, defects and delivery of ordered items</t>
        </is>
      </c>
      <c r="D19" s="98" t="inlineStr">
        <is>
          <t>Quality and procurement status</t>
        </is>
      </c>
      <c r="E19" s="98" t="inlineStr">
        <is>
          <t>Assistant PMO</t>
        </is>
      </c>
    </row>
    <row r="20" ht="28" customHeight="1">
      <c r="A20" s="96" t="inlineStr">
        <is>
          <t>Thursday</t>
        </is>
      </c>
      <c r="B20" s="97" t="inlineStr">
        <is>
          <t>Draft the status report</t>
        </is>
      </c>
      <c r="C20" s="98" t="inlineStr">
        <is>
          <t>Complete 15_WEEKLY_STATUS for each active project; automatic sections must not be overwritten</t>
        </is>
      </c>
      <c r="D20" s="98" t="inlineStr">
        <is>
          <t>Draft reports</t>
        </is>
      </c>
      <c r="E20" s="98" t="inlineStr">
        <is>
          <t>Assistant PMO</t>
        </is>
      </c>
    </row>
    <row r="21" ht="28" customHeight="1">
      <c r="A21" s="96" t="inlineStr">
        <is>
          <t>Friday 09:00</t>
        </is>
      </c>
      <c r="B21" s="97" t="inlineStr">
        <is>
          <t>Publish the dashboard</t>
        </is>
      </c>
      <c r="C21" s="98" t="inlineStr">
        <is>
          <t>Refresh the executive dashboard and confirm every KPI and chart is current</t>
        </is>
      </c>
      <c r="D21" s="98" t="inlineStr">
        <is>
          <t>Published dashboard</t>
        </is>
      </c>
      <c r="E21" s="98" t="inlineStr">
        <is>
          <t>Assistant PMO</t>
        </is>
      </c>
    </row>
    <row r="22" ht="28" customHeight="1">
      <c r="A22" s="96" t="inlineStr">
        <is>
          <t>Friday</t>
        </is>
      </c>
      <c r="B22" s="97" t="inlineStr">
        <is>
          <t>Executive pack</t>
        </is>
      </c>
      <c r="C22" s="98" t="inlineStr">
        <is>
          <t>Send the dashboard link with the red projects, overdue actions and decisions required</t>
        </is>
      </c>
      <c r="D22" s="98" t="inlineStr">
        <is>
          <t>Executive communication</t>
        </is>
      </c>
      <c r="E22" s="98" t="inlineStr">
        <is>
          <t>Assistant PMO</t>
        </is>
      </c>
    </row>
    <row r="23" ht="28" customHeight="1">
      <c r="A23" s="96" t="inlineStr">
        <is>
          <t>Friday</t>
        </is>
      </c>
      <c r="B23" s="97" t="inlineStr">
        <is>
          <t>Action close-out</t>
        </is>
      </c>
      <c r="C23" s="98" t="inlineStr">
        <is>
          <t>Close completed actions; escalate anything overdue by more than 7 days</t>
        </is>
      </c>
      <c r="D23" s="98" t="inlineStr">
        <is>
          <t>Updated action tracker</t>
        </is>
      </c>
      <c r="E23" s="98" t="inlineStr">
        <is>
          <t>Assistant PMO</t>
        </is>
      </c>
    </row>
    <row r="24" ht="28" customHeight="1">
      <c r="A24" s="96" t="inlineStr">
        <is>
          <t>Friday</t>
        </is>
      </c>
      <c r="B24" s="97" t="inlineStr">
        <is>
          <t>Decision and change sweep</t>
        </is>
      </c>
      <c r="C24" s="98" t="inlineStr">
        <is>
          <t>List pending decisions and changes older than 5 days for the steering meeting</t>
        </is>
      </c>
      <c r="D24" s="98" t="inlineStr">
        <is>
          <t>Decision agenda</t>
        </is>
      </c>
      <c r="E24" s="98" t="inlineStr">
        <is>
          <t>Assistant PMO</t>
        </is>
      </c>
    </row>
    <row r="25" ht="8" customHeight="1"/>
    <row r="26" ht="20" customHeight="1">
      <c r="A26" s="6" t="inlineStr">
        <is>
          <t>MONTHLY ROUTINE</t>
        </is>
      </c>
    </row>
    <row r="27" ht="26" customHeight="1">
      <c r="A27" s="64" t="inlineStr">
        <is>
          <t>WHEN</t>
        </is>
      </c>
      <c r="B27" s="64" t="inlineStr">
        <is>
          <t>ACTIVITY</t>
        </is>
      </c>
      <c r="C27" s="64" t="inlineStr">
        <is>
          <t>WHAT GOOD LOOKS LIKE</t>
        </is>
      </c>
      <c r="D27" s="64" t="inlineStr">
        <is>
          <t>OUTPUT</t>
        </is>
      </c>
      <c r="E27" s="64" t="inlineStr">
        <is>
          <t>OWNER</t>
        </is>
      </c>
    </row>
    <row r="28" ht="28" customHeight="1">
      <c r="A28" s="96" t="inlineStr">
        <is>
          <t>Working day 1</t>
        </is>
      </c>
      <c r="B28" s="97" t="inlineStr">
        <is>
          <t>Portfolio review</t>
        </is>
      </c>
      <c r="C28" s="98" t="inlineStr">
        <is>
          <t>Review every project's RAG, schedule variance and cost variance with the PMs</t>
        </is>
      </c>
      <c r="D28" s="98" t="inlineStr">
        <is>
          <t>Portfolio status agreed</t>
        </is>
      </c>
      <c r="E28" s="98" t="inlineStr">
        <is>
          <t>PMO Lead</t>
        </is>
      </c>
    </row>
    <row r="29" ht="28" customHeight="1">
      <c r="A29" s="96" t="inlineStr">
        <is>
          <t>Working day 2</t>
        </is>
      </c>
      <c r="B29" s="97" t="inlineStr">
        <is>
          <t>Cost report</t>
        </is>
      </c>
      <c r="C29" s="98" t="inlineStr">
        <is>
          <t>Reconcile approved amount, actual and forecast with Finance</t>
        </is>
      </c>
      <c r="D29" s="98" t="inlineStr">
        <is>
          <t>Cost report issued</t>
        </is>
      </c>
      <c r="E29" s="98" t="inlineStr">
        <is>
          <t>Assistant PMO</t>
        </is>
      </c>
    </row>
    <row r="30" ht="28" customHeight="1">
      <c r="A30" s="96" t="inlineStr">
        <is>
          <t>Working day 3</t>
        </is>
      </c>
      <c r="B30" s="97" t="inlineStr">
        <is>
          <t>Risk deep dive</t>
        </is>
      </c>
      <c r="C30" s="98" t="inlineStr">
        <is>
          <t>Score every open risk, confirm mitigations and escalations</t>
        </is>
      </c>
      <c r="D30" s="98" t="inlineStr">
        <is>
          <t>Risk report issued</t>
        </is>
      </c>
      <c r="E30" s="98" t="inlineStr">
        <is>
          <t>PMO Lead</t>
        </is>
      </c>
    </row>
    <row r="31" ht="28" customHeight="1">
      <c r="A31" s="96" t="inlineStr">
        <is>
          <t>First Thursday</t>
        </is>
      </c>
      <c r="B31" s="97" t="inlineStr">
        <is>
          <t>Steering committee</t>
        </is>
      </c>
      <c r="C31" s="98" t="inlineStr">
        <is>
          <t>Present the dashboard: red projects, decisions required, change requests and benefits</t>
        </is>
      </c>
      <c r="D31" s="98" t="inlineStr">
        <is>
          <t>Steering minutes and decisions</t>
        </is>
      </c>
      <c r="E31" s="98" t="inlineStr">
        <is>
          <t>PMO Lead</t>
        </is>
      </c>
    </row>
    <row r="32" ht="28" customHeight="1">
      <c r="A32" s="96" t="inlineStr">
        <is>
          <t>Last Friday</t>
        </is>
      </c>
      <c r="B32" s="97" t="inlineStr">
        <is>
          <t>Lessons learned</t>
        </is>
      </c>
      <c r="C32" s="98" t="inlineStr">
        <is>
          <t>Capture what went well and what did not; assign the improvement actions</t>
        </is>
      </c>
      <c r="D32" s="98" t="inlineStr">
        <is>
          <t>Updated lessons learned</t>
        </is>
      </c>
      <c r="E32" s="98" t="inlineStr">
        <is>
          <t>Assistant PMO</t>
        </is>
      </c>
    </row>
    <row r="33" ht="28" customHeight="1">
      <c r="A33" s="96" t="inlineStr">
        <is>
          <t>Last Friday</t>
        </is>
      </c>
      <c r="B33" s="97" t="inlineStr">
        <is>
          <t>30/60/90 review</t>
        </is>
      </c>
      <c r="C33" s="98" t="inlineStr">
        <is>
          <t>Update 22_30_60_90_PLAN progress and next month's targets</t>
        </is>
      </c>
      <c r="D33" s="98" t="inlineStr">
        <is>
          <t>Plan status updated</t>
        </is>
      </c>
      <c r="E33" s="98" t="inlineStr">
        <is>
          <t>Assistant PMO</t>
        </is>
      </c>
    </row>
    <row r="34" ht="28" customHeight="1">
      <c r="A34" s="96" t="inlineStr">
        <is>
          <t>Month end</t>
        </is>
      </c>
      <c r="B34" s="97" t="inlineStr">
        <is>
          <t>Archive and hygiene</t>
        </is>
      </c>
      <c r="C34" s="98" t="inlineStr">
        <is>
          <t>Archive completed projects, purge stale sample data, confirm drop-downs still match 23_SETTINGS</t>
        </is>
      </c>
      <c r="D34" s="98" t="inlineStr">
        <is>
          <t>Clean workbook</t>
        </is>
      </c>
      <c r="E34" s="98" t="inlineStr">
        <is>
          <t>Assistant PMO</t>
        </is>
      </c>
    </row>
    <row r="35" ht="8" customHeight="1"/>
  </sheetData>
  <mergeCells count="6">
    <mergeCell ref="A26:E26"/>
    <mergeCell ref="A2:E2"/>
    <mergeCell ref="A15:E15"/>
    <mergeCell ref="A1:E1"/>
    <mergeCell ref="A5:E5"/>
    <mergeCell ref="A3:E3"/>
  </mergeCell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6" customWidth="1" min="3" max="3"/>
    <col width="26" customWidth="1" min="4" max="4"/>
    <col width="28" customWidth="1" min="5" max="5"/>
    <col width="16" customWidth="1" min="6" max="6"/>
    <col width="13" customWidth="1" min="7" max="7"/>
    <col width="14" customWidth="1" min="8" max="8"/>
    <col width="22" customWidth="1" min="9" max="9"/>
  </cols>
  <sheetData>
    <row r="1" ht="32" customHeight="1">
      <c r="A1" s="1" t="inlineStr">
        <is>
          <t>ASSISTANT PMO 30 / 60 / 90 DAY PLAN</t>
        </is>
      </c>
    </row>
    <row r="2" ht="17" customHeight="1">
      <c r="A2" s="2" t="inlineStr">
        <is>
          <t>Onboarding and improvement plan for the Assistant PMO: first 30 days learn and stabilise, 31-60 control and improve, 61-90 optimise and lead.</t>
        </is>
      </c>
    </row>
    <row r="3" ht="15" customHeight="1">
      <c r="A3" s="3" t="inlineStr">
        <is>
          <t>SAMPLE DATA - every sample record is marked SAMPLE in the Notes column. Delete or overwrite them freely: all formulas, KPIs, charts and drop-downs keep working.</t>
        </is>
      </c>
    </row>
    <row r="4" ht="32" customHeight="1">
      <c r="A4" s="64" t="inlineStr">
        <is>
          <t>Phase</t>
        </is>
      </c>
      <c r="B4" s="64" t="inlineStr">
        <is>
          <t>Focus Area</t>
        </is>
      </c>
      <c r="C4" s="64" t="inlineStr">
        <is>
          <t>Key Actions</t>
        </is>
      </c>
      <c r="D4" s="64" t="inlineStr">
        <is>
          <t>Deliverable</t>
        </is>
      </c>
      <c r="E4" s="64" t="inlineStr">
        <is>
          <t>Success Measure</t>
        </is>
      </c>
      <c r="F4" s="64" t="inlineStr">
        <is>
          <t>Owner</t>
        </is>
      </c>
      <c r="G4" s="64" t="inlineStr">
        <is>
          <t>Target Date</t>
        </is>
      </c>
      <c r="H4" s="64" t="inlineStr">
        <is>
          <t>Status</t>
        </is>
      </c>
      <c r="I4" s="64" t="inlineStr">
        <is>
          <t>Notes</t>
        </is>
      </c>
    </row>
    <row r="5" ht="28" customHeight="1">
      <c r="A5" s="65" t="inlineStr">
        <is>
          <t>First 30 Days</t>
        </is>
      </c>
      <c r="B5" s="65" t="inlineStr">
        <is>
          <t>Learn the portfolio</t>
        </is>
      </c>
      <c r="C5" s="70" t="inlineStr">
        <is>
          <t>Read the portfolio, RAID, actions and schedule for every active project</t>
        </is>
      </c>
      <c r="D5" s="70" t="inlineStr">
        <is>
          <t>Portfolio familiarisation notes</t>
        </is>
      </c>
      <c r="E5" s="70" t="inlineStr">
        <is>
          <t>All active projects understood</t>
        </is>
      </c>
      <c r="F5" s="65" t="inlineStr">
        <is>
          <t>Priya Raman</t>
        </is>
      </c>
      <c r="G5" s="66" t="n">
        <v>46325</v>
      </c>
      <c r="H5" s="65" t="inlineStr">
        <is>
          <t>In Progress</t>
        </is>
      </c>
      <c r="I5" s="70" t="inlineStr">
        <is>
          <t>SAMPLE</t>
        </is>
      </c>
    </row>
    <row r="6" ht="28" customHeight="1">
      <c r="A6" s="65" t="inlineStr">
        <is>
          <t>First 30 Days</t>
        </is>
      </c>
      <c r="B6" s="65" t="inlineStr">
        <is>
          <t>Meet stakeholders</t>
        </is>
      </c>
      <c r="C6" s="70" t="inlineStr">
        <is>
          <t>Meet every project manager, sponsor and key business owner</t>
        </is>
      </c>
      <c r="D6" s="70" t="inlineStr">
        <is>
          <t>Stakeholder map</t>
        </is>
      </c>
      <c r="E6" s="70" t="inlineStr">
        <is>
          <t>100% of project managers met</t>
        </is>
      </c>
      <c r="F6" s="65" t="inlineStr">
        <is>
          <t>Priya Raman</t>
        </is>
      </c>
      <c r="G6" s="66" t="n">
        <v>46318</v>
      </c>
      <c r="H6" s="65" t="inlineStr">
        <is>
          <t>In Progress</t>
        </is>
      </c>
      <c r="I6" s="70" t="inlineStr">
        <is>
          <t>SAMPLE</t>
        </is>
      </c>
    </row>
    <row r="7" ht="28" customHeight="1">
      <c r="A7" s="65" t="inlineStr">
        <is>
          <t>First 30 Days</t>
        </is>
      </c>
      <c r="B7" s="65" t="inlineStr">
        <is>
          <t>Learn PMO processes</t>
        </is>
      </c>
      <c r="C7" s="70" t="inlineStr">
        <is>
          <t>Document how status, changes and approvals currently work</t>
        </is>
      </c>
      <c r="D7" s="70" t="inlineStr">
        <is>
          <t>Current process map</t>
        </is>
      </c>
      <c r="E7" s="70" t="inlineStr">
        <is>
          <t>Process map approved</t>
        </is>
      </c>
      <c r="F7" s="65" t="inlineStr">
        <is>
          <t>Priya Raman</t>
        </is>
      </c>
      <c r="G7" s="66" t="n">
        <v>46325</v>
      </c>
      <c r="H7" s="65" t="inlineStr">
        <is>
          <t>Open</t>
        </is>
      </c>
      <c r="I7" s="70" t="inlineStr">
        <is>
          <t>SAMPLE</t>
        </is>
      </c>
    </row>
    <row r="8" ht="28" customHeight="1">
      <c r="A8" s="65" t="inlineStr">
        <is>
          <t>First 30 Days</t>
        </is>
      </c>
      <c r="B8" s="65" t="inlineStr">
        <is>
          <t>Learn reporting</t>
        </is>
      </c>
      <c r="C8" s="70" t="inlineStr">
        <is>
          <t>Reproduce the existing weekly report and dashboard</t>
        </is>
      </c>
      <c r="D8" s="70" t="inlineStr">
        <is>
          <t>Baseline report</t>
        </is>
      </c>
      <c r="E8" s="70" t="inlineStr">
        <is>
          <t>Report produced without help</t>
        </is>
      </c>
      <c r="F8" s="65" t="inlineStr">
        <is>
          <t>Priya Raman</t>
        </is>
      </c>
      <c r="G8" s="66" t="n">
        <v>46311</v>
      </c>
      <c r="H8" s="65" t="inlineStr">
        <is>
          <t>Open</t>
        </is>
      </c>
      <c r="I8" s="70" t="inlineStr">
        <is>
          <t>SAMPLE</t>
        </is>
      </c>
    </row>
    <row r="9" ht="28" customHeight="1">
      <c r="A9" s="65" t="inlineStr">
        <is>
          <t>First 30 Days</t>
        </is>
      </c>
      <c r="B9" s="65" t="inlineStr">
        <is>
          <t>Build the project register</t>
        </is>
      </c>
      <c r="C9" s="70" t="inlineStr">
        <is>
          <t>Load every project into this workbook with owner, dates and approved amount</t>
        </is>
      </c>
      <c r="D9" s="70" t="inlineStr">
        <is>
          <t>Project portfolio filled</t>
        </is>
      </c>
      <c r="E9" s="70" t="inlineStr">
        <is>
          <t>100% projects registered</t>
        </is>
      </c>
      <c r="F9" s="65" t="inlineStr">
        <is>
          <t>Priya Raman</t>
        </is>
      </c>
      <c r="G9" s="66" t="n">
        <v>46310</v>
      </c>
      <c r="H9" s="65" t="inlineStr">
        <is>
          <t>In Progress</t>
        </is>
      </c>
      <c r="I9" s="70" t="inlineStr">
        <is>
          <t>SAMPLE</t>
        </is>
      </c>
    </row>
    <row r="10" ht="28" customHeight="1">
      <c r="A10" s="65" t="inlineStr">
        <is>
          <t>First 30 Days</t>
        </is>
      </c>
      <c r="B10" s="65" t="inlineStr">
        <is>
          <t>Learn company tools</t>
        </is>
      </c>
      <c r="C10" s="70" t="inlineStr">
        <is>
          <t>Learn the toolset used for finance, tickets and documents</t>
        </is>
      </c>
      <c r="D10" s="70" t="inlineStr">
        <is>
          <t>Tool access list</t>
        </is>
      </c>
      <c r="E10" s="70" t="inlineStr">
        <is>
          <t>Access granted to all systems</t>
        </is>
      </c>
      <c r="F10" s="65" t="inlineStr">
        <is>
          <t>Priya Raman</t>
        </is>
      </c>
      <c r="G10" s="66" t="n">
        <v>46305</v>
      </c>
      <c r="H10" s="65" t="inlineStr">
        <is>
          <t>Complete</t>
        </is>
      </c>
      <c r="I10" s="70" t="inlineStr">
        <is>
          <t>SAMPLE</t>
        </is>
      </c>
    </row>
    <row r="11" ht="28" customHeight="1">
      <c r="A11" s="65" t="inlineStr">
        <is>
          <t>Days 31-60</t>
        </is>
      </c>
      <c r="B11" s="65" t="inlineStr">
        <is>
          <t>Improve reporting</t>
        </is>
      </c>
      <c r="C11" s="70" t="inlineStr">
        <is>
          <t>Switch the weekly report to formula-driven pulls from this workbook</t>
        </is>
      </c>
      <c r="D11" s="70" t="inlineStr">
        <is>
          <t>Automated weekly report</t>
        </is>
      </c>
      <c r="E11" s="70" t="inlineStr">
        <is>
          <t>Report time cut by 50%</t>
        </is>
      </c>
      <c r="F11" s="65" t="inlineStr">
        <is>
          <t>Priya Raman</t>
        </is>
      </c>
      <c r="G11" s="66" t="n">
        <v>46341</v>
      </c>
      <c r="H11" s="65" t="inlineStr">
        <is>
          <t>Open</t>
        </is>
      </c>
      <c r="I11" s="70" t="inlineStr">
        <is>
          <t>SAMPLE</t>
        </is>
      </c>
    </row>
    <row r="12" ht="28" customHeight="1">
      <c r="A12" s="65" t="inlineStr">
        <is>
          <t>Days 31-60</t>
        </is>
      </c>
      <c r="B12" s="65" t="inlineStr">
        <is>
          <t>Standardise templates</t>
        </is>
      </c>
      <c r="C12" s="70" t="inlineStr">
        <is>
          <t>Roll out these templates to all project managers</t>
        </is>
      </c>
      <c r="D12" s="70" t="inlineStr">
        <is>
          <t>Template pack issued</t>
        </is>
      </c>
      <c r="E12" s="70" t="inlineStr">
        <is>
          <t>All PMs using the templates</t>
        </is>
      </c>
      <c r="F12" s="65" t="inlineStr">
        <is>
          <t>Priya Raman</t>
        </is>
      </c>
      <c r="G12" s="66" t="n">
        <v>46336</v>
      </c>
      <c r="H12" s="65" t="inlineStr">
        <is>
          <t>Open</t>
        </is>
      </c>
      <c r="I12" s="70" t="inlineStr">
        <is>
          <t>SAMPLE</t>
        </is>
      </c>
    </row>
    <row r="13" ht="28" customHeight="1">
      <c r="A13" s="65" t="inlineStr">
        <is>
          <t>Days 31-60</t>
        </is>
      </c>
      <c r="B13" s="65" t="inlineStr">
        <is>
          <t>Improve RAID tracking</t>
        </is>
      </c>
      <c r="C13" s="70" t="inlineStr">
        <is>
          <t>Introduce weekly risk review and scoring discipline</t>
        </is>
      </c>
      <c r="D13" s="70" t="inlineStr">
        <is>
          <t>Weekly RAID review running</t>
        </is>
      </c>
      <c r="E13" s="70" t="inlineStr">
        <is>
          <t>No risk older than 30 days without review</t>
        </is>
      </c>
      <c r="F13" s="65" t="inlineStr">
        <is>
          <t>Priya Raman</t>
        </is>
      </c>
      <c r="G13" s="66" t="n">
        <v>46346</v>
      </c>
      <c r="H13" s="65" t="inlineStr">
        <is>
          <t>Open</t>
        </is>
      </c>
      <c r="I13" s="70" t="inlineStr">
        <is>
          <t>SAMPLE</t>
        </is>
      </c>
    </row>
    <row r="14" ht="28" customHeight="1">
      <c r="A14" s="65" t="inlineStr">
        <is>
          <t>Days 31-60</t>
        </is>
      </c>
      <c r="B14" s="65" t="inlineStr">
        <is>
          <t>Improve action tracking</t>
        </is>
      </c>
      <c r="C14" s="70" t="inlineStr">
        <is>
          <t>Chase overdue actions daily from the dashboard</t>
        </is>
      </c>
      <c r="D14" s="70" t="inlineStr">
        <is>
          <t>Overdue action trend</t>
        </is>
      </c>
      <c r="E14" s="70" t="inlineStr">
        <is>
          <t>Overdue actions below 5</t>
        </is>
      </c>
      <c r="F14" s="65" t="inlineStr">
        <is>
          <t>Priya Raman</t>
        </is>
      </c>
      <c r="G14" s="66" t="n">
        <v>46351</v>
      </c>
      <c r="H14" s="65" t="inlineStr">
        <is>
          <t>Open</t>
        </is>
      </c>
      <c r="I14" s="70" t="inlineStr">
        <is>
          <t>SAMPLE</t>
        </is>
      </c>
    </row>
    <row r="15" ht="28" customHeight="1">
      <c r="A15" s="65" t="inlineStr">
        <is>
          <t>Days 31-60</t>
        </is>
      </c>
      <c r="B15" s="65" t="inlineStr">
        <is>
          <t>Introduce governance</t>
        </is>
      </c>
      <c r="C15" s="70" t="inlineStr">
        <is>
          <t>Set change control and decision log rules with management</t>
        </is>
      </c>
      <c r="D15" s="70" t="inlineStr">
        <is>
          <t>Governance note approved</t>
        </is>
      </c>
      <c r="E15" s="70" t="inlineStr">
        <is>
          <t>No unapproved changes implemented</t>
        </is>
      </c>
      <c r="F15" s="65" t="inlineStr">
        <is>
          <t>Priya Raman</t>
        </is>
      </c>
      <c r="G15" s="66" t="n">
        <v>46356</v>
      </c>
      <c r="H15" s="65" t="inlineStr">
        <is>
          <t>Open</t>
        </is>
      </c>
      <c r="I15" s="70" t="inlineStr">
        <is>
          <t>SAMPLE</t>
        </is>
      </c>
    </row>
    <row r="16" ht="28" customHeight="1">
      <c r="A16" s="65" t="inlineStr">
        <is>
          <t>Days 61-90</t>
        </is>
      </c>
      <c r="B16" s="65" t="inlineStr">
        <is>
          <t>Portfolio reporting</t>
        </is>
      </c>
      <c r="C16" s="70" t="inlineStr">
        <is>
          <t>Publish a monthly portfolio pack from the dashboard</t>
        </is>
      </c>
      <c r="D16" s="70" t="inlineStr">
        <is>
          <t>Monthly portfolio pack</t>
        </is>
      </c>
      <c r="E16" s="70" t="inlineStr">
        <is>
          <t>Pack issued on time each month</t>
        </is>
      </c>
      <c r="F16" s="65" t="inlineStr">
        <is>
          <t>Priya Raman</t>
        </is>
      </c>
      <c r="G16" s="66" t="n">
        <v>46371</v>
      </c>
      <c r="H16" s="65" t="inlineStr">
        <is>
          <t>Open</t>
        </is>
      </c>
      <c r="I16" s="70" t="inlineStr">
        <is>
          <t>SAMPLE</t>
        </is>
      </c>
    </row>
    <row r="17" ht="28" customHeight="1">
      <c r="A17" s="65" t="inlineStr">
        <is>
          <t>Days 61-90</t>
        </is>
      </c>
      <c r="B17" s="65" t="inlineStr">
        <is>
          <t>KPI analysis</t>
        </is>
      </c>
      <c r="C17" s="70" t="inlineStr">
        <is>
          <t>Track RAG, cost and schedule trends over three months</t>
        </is>
      </c>
      <c r="D17" s="70" t="inlineStr">
        <is>
          <t>KPI trend report</t>
        </is>
      </c>
      <c r="E17" s="70" t="inlineStr">
        <is>
          <t>Trends visible for all KPIs</t>
        </is>
      </c>
      <c r="F17" s="65" t="inlineStr">
        <is>
          <t>Priya Raman</t>
        </is>
      </c>
      <c r="G17" s="66" t="n">
        <v>46376</v>
      </c>
      <c r="H17" s="65" t="inlineStr">
        <is>
          <t>Open</t>
        </is>
      </c>
      <c r="I17" s="70" t="inlineStr">
        <is>
          <t>SAMPLE</t>
        </is>
      </c>
    </row>
    <row r="18" ht="28" customHeight="1">
      <c r="A18" s="65" t="inlineStr">
        <is>
          <t>Days 61-90</t>
        </is>
      </c>
      <c r="B18" s="65" t="inlineStr">
        <is>
          <t>Process improvement</t>
        </is>
      </c>
      <c r="C18" s="70" t="inlineStr">
        <is>
          <t>Remove the biggest causes of late reporting and late actions</t>
        </is>
      </c>
      <c r="D18" s="70" t="inlineStr">
        <is>
          <t>Improvement backlog</t>
        </is>
      </c>
      <c r="E18" s="70" t="inlineStr">
        <is>
          <t>At least 3 improvements delivered</t>
        </is>
      </c>
      <c r="F18" s="65" t="inlineStr">
        <is>
          <t>Priya Raman</t>
        </is>
      </c>
      <c r="G18" s="66" t="n">
        <v>46387</v>
      </c>
      <c r="H18" s="65" t="inlineStr">
        <is>
          <t>Open</t>
        </is>
      </c>
      <c r="I18" s="70" t="inlineStr">
        <is>
          <t>SAMPLE</t>
        </is>
      </c>
    </row>
    <row r="19" ht="28" customHeight="1">
      <c r="A19" s="65" t="inlineStr">
        <is>
          <t>Days 61-90</t>
        </is>
      </c>
      <c r="B19" s="65" t="inlineStr">
        <is>
          <t>Executive reporting</t>
        </is>
      </c>
      <c r="C19" s="70" t="inlineStr">
        <is>
          <t>Run the monthly management review from the dashboard</t>
        </is>
      </c>
      <c r="D19" s="70" t="inlineStr">
        <is>
          <t>Management review minutes</t>
        </is>
      </c>
      <c r="E19" s="70" t="inlineStr">
        <is>
          <t>Management decisions logged within 5 days</t>
        </is>
      </c>
      <c r="F19" s="65" t="inlineStr">
        <is>
          <t>Priya Raman</t>
        </is>
      </c>
      <c r="G19" s="66" t="n">
        <v>46387</v>
      </c>
      <c r="H19" s="65" t="inlineStr">
        <is>
          <t>Open</t>
        </is>
      </c>
      <c r="I19" s="70" t="inlineStr">
        <is>
          <t>SAMPLE</t>
        </is>
      </c>
    </row>
    <row r="20" ht="28" customHeight="1">
      <c r="A20" s="65" t="n"/>
      <c r="B20" s="65" t="n"/>
      <c r="C20" s="70" t="n"/>
      <c r="D20" s="70" t="n"/>
      <c r="E20" s="70" t="n"/>
      <c r="F20" s="65" t="n"/>
      <c r="G20" s="66" t="n"/>
      <c r="H20" s="65" t="n"/>
      <c r="I20" s="70" t="n"/>
    </row>
    <row r="21" ht="28" customHeight="1">
      <c r="A21" s="65" t="n"/>
      <c r="B21" s="65" t="n"/>
      <c r="C21" s="70" t="n"/>
      <c r="D21" s="70" t="n"/>
      <c r="E21" s="70" t="n"/>
      <c r="F21" s="65" t="n"/>
      <c r="G21" s="66" t="n"/>
      <c r="H21" s="65" t="n"/>
      <c r="I21" s="70" t="n"/>
    </row>
    <row r="22" ht="28" customHeight="1">
      <c r="A22" s="65" t="n"/>
      <c r="B22" s="65" t="n"/>
      <c r="C22" s="70" t="n"/>
      <c r="D22" s="70" t="n"/>
      <c r="E22" s="70" t="n"/>
      <c r="F22" s="65" t="n"/>
      <c r="G22" s="66" t="n"/>
      <c r="H22" s="65" t="n"/>
      <c r="I22" s="70" t="n"/>
    </row>
    <row r="23" ht="28" customHeight="1">
      <c r="A23" s="65" t="n"/>
      <c r="B23" s="65" t="n"/>
      <c r="C23" s="70" t="n"/>
      <c r="D23" s="70" t="n"/>
      <c r="E23" s="70" t="n"/>
      <c r="F23" s="65" t="n"/>
      <c r="G23" s="66" t="n"/>
      <c r="H23" s="65" t="n"/>
      <c r="I23" s="70" t="n"/>
    </row>
    <row r="24" ht="28" customHeight="1">
      <c r="A24" s="65" t="n"/>
      <c r="B24" s="65" t="n"/>
      <c r="C24" s="70" t="n"/>
      <c r="D24" s="70" t="n"/>
      <c r="E24" s="70" t="n"/>
      <c r="F24" s="65" t="n"/>
      <c r="G24" s="66" t="n"/>
      <c r="H24" s="65" t="n"/>
      <c r="I24" s="70" t="n"/>
    </row>
    <row r="25" ht="28" customHeight="1">
      <c r="A25" s="65" t="n"/>
      <c r="B25" s="65" t="n"/>
      <c r="C25" s="70" t="n"/>
      <c r="D25" s="70" t="n"/>
      <c r="E25" s="70" t="n"/>
      <c r="F25" s="65" t="n"/>
      <c r="G25" s="66" t="n"/>
      <c r="H25" s="65" t="n"/>
      <c r="I25" s="70" t="n"/>
    </row>
    <row r="26" ht="28" customHeight="1">
      <c r="A26" s="65" t="n"/>
      <c r="B26" s="65" t="n"/>
      <c r="C26" s="70" t="n"/>
      <c r="D26" s="70" t="n"/>
      <c r="E26" s="70" t="n"/>
      <c r="F26" s="65" t="n"/>
      <c r="G26" s="66" t="n"/>
      <c r="H26" s="65" t="n"/>
      <c r="I26" s="70" t="n"/>
    </row>
    <row r="27" ht="28" customHeight="1">
      <c r="A27" s="65" t="n"/>
      <c r="B27" s="65" t="n"/>
      <c r="C27" s="70" t="n"/>
      <c r="D27" s="70" t="n"/>
      <c r="E27" s="70" t="n"/>
      <c r="F27" s="65" t="n"/>
      <c r="G27" s="66" t="n"/>
      <c r="H27" s="65" t="n"/>
      <c r="I27" s="70" t="n"/>
    </row>
    <row r="28" ht="28" customHeight="1">
      <c r="A28" s="65" t="n"/>
      <c r="B28" s="65" t="n"/>
      <c r="C28" s="70" t="n"/>
      <c r="D28" s="70" t="n"/>
      <c r="E28" s="70" t="n"/>
      <c r="F28" s="65" t="n"/>
      <c r="G28" s="66" t="n"/>
      <c r="H28" s="65" t="n"/>
      <c r="I28" s="70" t="n"/>
    </row>
    <row r="29" ht="28" customHeight="1">
      <c r="A29" s="65" t="n"/>
      <c r="B29" s="65" t="n"/>
      <c r="C29" s="70" t="n"/>
      <c r="D29" s="70" t="n"/>
      <c r="E29" s="70" t="n"/>
      <c r="F29" s="65" t="n"/>
      <c r="G29" s="66" t="n"/>
      <c r="H29" s="65" t="n"/>
      <c r="I29" s="70" t="n"/>
    </row>
    <row r="30" ht="28" customHeight="1">
      <c r="A30" s="65" t="n"/>
      <c r="B30" s="65" t="n"/>
      <c r="C30" s="70" t="n"/>
      <c r="D30" s="70" t="n"/>
      <c r="E30" s="70" t="n"/>
      <c r="F30" s="65" t="n"/>
      <c r="G30" s="66" t="n"/>
      <c r="H30" s="65" t="n"/>
      <c r="I30" s="70" t="n"/>
    </row>
    <row r="31" ht="28" customHeight="1">
      <c r="A31" s="65" t="n"/>
      <c r="B31" s="65" t="n"/>
      <c r="C31" s="70" t="n"/>
      <c r="D31" s="70" t="n"/>
      <c r="E31" s="70" t="n"/>
      <c r="F31" s="65" t="n"/>
      <c r="G31" s="66" t="n"/>
      <c r="H31" s="65" t="n"/>
      <c r="I31" s="70" t="n"/>
    </row>
    <row r="32" ht="28" customHeight="1">
      <c r="A32" s="65" t="n"/>
      <c r="B32" s="65" t="n"/>
      <c r="C32" s="70" t="n"/>
      <c r="D32" s="70" t="n"/>
      <c r="E32" s="70" t="n"/>
      <c r="F32" s="65" t="n"/>
      <c r="G32" s="66" t="n"/>
      <c r="H32" s="65" t="n"/>
      <c r="I32" s="70" t="n"/>
    </row>
    <row r="33" ht="28" customHeight="1">
      <c r="A33" s="65" t="n"/>
      <c r="B33" s="65" t="n"/>
      <c r="C33" s="70" t="n"/>
      <c r="D33" s="70" t="n"/>
      <c r="E33" s="70" t="n"/>
      <c r="F33" s="65" t="n"/>
      <c r="G33" s="66" t="n"/>
      <c r="H33" s="65" t="n"/>
      <c r="I33" s="70" t="n"/>
    </row>
    <row r="34" ht="28" customHeight="1">
      <c r="A34" s="65" t="n"/>
      <c r="B34" s="65" t="n"/>
      <c r="C34" s="70" t="n"/>
      <c r="D34" s="70" t="n"/>
      <c r="E34" s="70" t="n"/>
      <c r="F34" s="65" t="n"/>
      <c r="G34" s="66" t="n"/>
      <c r="H34" s="65" t="n"/>
      <c r="I34" s="70" t="n"/>
    </row>
  </sheetData>
  <mergeCells count="3">
    <mergeCell ref="A1:I1"/>
    <mergeCell ref="A3:I3"/>
    <mergeCell ref="A2:I2"/>
  </mergeCells>
  <conditionalFormatting sqref="H5:H34">
    <cfRule type="expression" priority="1" dxfId="8" stopIfTrue="1">
      <formula>EXACT($H5,"Open")</formula>
    </cfRule>
    <cfRule type="expression" priority="2" dxfId="4" stopIfTrue="1">
      <formula>EXACT($H5,"In Progress")</formula>
    </cfRule>
    <cfRule type="expression" priority="3" dxfId="3" stopIfTrue="1">
      <formula>EXACT($H5,"Complete")</formula>
    </cfRule>
    <cfRule type="expression" priority="4" dxfId="8" stopIfTrue="1">
      <formula>EXACT($H5,"Cancelled")</formula>
    </cfRule>
  </conditionalFormatting>
  <conditionalFormatting sqref="A5:A34">
    <cfRule type="expression" priority="5" dxfId="3" stopIfTrue="1">
      <formula>EXACT($A5,"First 30 Days")</formula>
    </cfRule>
    <cfRule type="expression" priority="6" dxfId="4" stopIfTrue="1">
      <formula>EXACT($A5,"Days 31-60")</formula>
    </cfRule>
    <cfRule type="expression" priority="7" dxfId="5" stopIfTrue="1">
      <formula>EXACT($A5,"Days 61-90")</formula>
    </cfRule>
  </conditionalFormatting>
  <conditionalFormatting sqref="G5:G34">
    <cfRule type="expression" priority="8" dxfId="5" stopIfTrue="0">
      <formula>AND($G5&lt;&gt;"",$G5&lt;TODAY(),$H5&lt;&gt;"Complete")</formula>
    </cfRule>
    <cfRule type="expression" priority="10" dxfId="4" stopIfTrue="0">
      <formula>AND($C5&lt;&gt;"",G5="")</formula>
    </cfRule>
  </conditionalFormatting>
  <conditionalFormatting sqref="F5:F34">
    <cfRule type="expression" priority="9" dxfId="4" stopIfTrue="0">
      <formula>AND($C5&lt;&gt;"",F5="")</formula>
    </cfRule>
  </conditionalFormatting>
  <dataValidations count="2">
    <dataValidation sqref="F5:F34" showDropDown="0" showInputMessage="1" showErrorMessage="1" allowBlank="1" errorTitle="Value not allowed" error="Pick a value from the drop-down list (L_Owner)." promptTitle="Select" prompt="Choose a value from the drop-down list." type="list" errorStyle="stop">
      <formula1>L_Owner</formula1>
    </dataValidation>
    <dataValidation sqref="H5:H34" showDropDown="0" showInputMessage="1" showErrorMessage="1" allowBlank="1" errorTitle="Value not allowed" error="Pick a value from the drop-down list (L_ActionStatus)." promptTitle="Select" prompt="Choose a value from the drop-down list." type="list" errorStyle="stop">
      <formula1>L_ActionStatus</formula1>
    </dataValidation>
  </dataValidation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9AA7B4"/>
    <outlinePr summaryBelow="1" summaryRight="1"/>
    <pageSetUpPr fitToPage="1"/>
  </sheetPr>
  <dimension ref="A1:H278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3" customWidth="1" min="7" max="7"/>
    <col width="44" customWidth="1" min="8" max="8"/>
  </cols>
  <sheetData>
    <row r="1" ht="32" customHeight="1">
      <c r="A1" s="1" t="inlineStr">
        <is>
          <t>SETTINGS - CONTROLLED LISTS &amp; SYSTEM OPTIONS</t>
        </is>
      </c>
    </row>
    <row r="2" ht="17" customHeight="1">
      <c r="A2" s="2" t="inlineStr">
        <is>
          <t>Every drop-down in this workbook reads from the lists below. Change a list value and the drop-downs follow. Never rename or delete a list header.</t>
        </is>
      </c>
    </row>
    <row r="3" ht="15" customHeight="1">
      <c r="A3" s="3" t="inlineStr">
        <is>
          <t>Customer master list (column H) is loaded from the V7 customer file (ALL CUSTOMER / Org-Trade Name). Add your own customers to the bottom of column H.</t>
        </is>
      </c>
    </row>
    <row r="4" ht="20" customHeight="1">
      <c r="A4" s="6" t="inlineStr">
        <is>
          <t>SYSTEM SETTINGS - CHANGE ONLY IF YOU KNOW WHY</t>
        </is>
      </c>
    </row>
    <row r="5" ht="20" customHeight="1">
      <c r="A5" s="99" t="inlineStr">
        <is>
          <t>Gantt start date</t>
        </is>
      </c>
      <c r="B5" s="100" t="n">
        <v>46202</v>
      </c>
      <c r="C5" s="99" t="inlineStr">
        <is>
          <t>Gantt weeks shown</t>
        </is>
      </c>
      <c r="D5" s="101" t="n">
        <v>24</v>
      </c>
      <c r="E5" s="99" t="inlineStr">
        <is>
          <t>Reporting week ends</t>
        </is>
      </c>
      <c r="F5" s="102">
        <f>TODAY()-WEEKDAY(TODAY(),2)+7</f>
        <v/>
      </c>
    </row>
    <row r="6" ht="20" customHeight="1">
      <c r="A6" s="99" t="inlineStr">
        <is>
          <t>Workbook owner</t>
        </is>
      </c>
      <c r="B6" s="103" t="inlineStr">
        <is>
          <t>PMO Office</t>
        </is>
      </c>
      <c r="C6" s="99" t="inlineStr">
        <is>
          <t>Last refreshed</t>
        </is>
      </c>
      <c r="D6" s="102">
        <f>TODAY()</f>
        <v/>
      </c>
      <c r="E6" s="99" t="inlineStr">
        <is>
          <t>Number format</t>
        </is>
      </c>
      <c r="F6" s="104" t="inlineStr">
        <is>
          <t>#,##0 (no decimals)</t>
        </is>
      </c>
    </row>
    <row r="7" ht="8" customHeight="1"/>
    <row r="8" ht="20" customHeight="1">
      <c r="A8" s="6" t="inlineStr">
        <is>
          <t>CONTROLLED LISTS - THE SOURCE OF EVERY DROP-DOWN</t>
        </is>
      </c>
      <c r="H8" s="105" t="inlineStr">
        <is>
          <t>CUSTOMER MASTER  (V7)</t>
        </is>
      </c>
    </row>
    <row r="9">
      <c r="H9" s="26" t="inlineStr">
        <is>
          <t>Internal</t>
        </is>
      </c>
    </row>
    <row r="10" ht="26" customHeight="1">
      <c r="A10" s="106" t="inlineStr">
        <is>
          <t>PROJECT STATUS</t>
        </is>
      </c>
      <c r="B10" s="106" t="inlineStr">
        <is>
          <t>RAG STATUS</t>
        </is>
      </c>
      <c r="C10" s="106" t="inlineStr">
        <is>
          <t>PRIORITY</t>
        </is>
      </c>
      <c r="D10" s="106" t="inlineStr">
        <is>
          <t>HIGH / MEDIUM / LOW</t>
        </is>
      </c>
      <c r="E10" s="106" t="inlineStr">
        <is>
          <t>RISK PROBABILITY</t>
        </is>
      </c>
      <c r="F10" s="106" t="inlineStr">
        <is>
          <t>RISK IMPACT</t>
        </is>
      </c>
      <c r="H10" s="26" t="inlineStr">
        <is>
          <t>-AB TEFERA KASA</t>
        </is>
      </c>
    </row>
    <row r="11">
      <c r="A11" s="107" t="inlineStr">
        <is>
          <t>Not Started</t>
        </is>
      </c>
      <c r="B11" s="107" t="inlineStr">
        <is>
          <t>Green</t>
        </is>
      </c>
      <c r="C11" s="107" t="inlineStr">
        <is>
          <t>Low</t>
        </is>
      </c>
      <c r="D11" s="107" t="inlineStr">
        <is>
          <t>High</t>
        </is>
      </c>
      <c r="E11" s="107" t="inlineStr">
        <is>
          <t>Low</t>
        </is>
      </c>
      <c r="F11" s="107" t="inlineStr">
        <is>
          <t>Low</t>
        </is>
      </c>
      <c r="H11" s="26" t="inlineStr">
        <is>
          <t>17-17 COMMUNITY DEVELOPMENT CENTER</t>
        </is>
      </c>
    </row>
    <row r="12">
      <c r="A12" s="108" t="inlineStr">
        <is>
          <t>Active</t>
        </is>
      </c>
      <c r="B12" s="108" t="inlineStr">
        <is>
          <t>Yellow</t>
        </is>
      </c>
      <c r="C12" s="108" t="inlineStr">
        <is>
          <t>Medium</t>
        </is>
      </c>
      <c r="D12" s="108" t="inlineStr">
        <is>
          <t>Medium</t>
        </is>
      </c>
      <c r="E12" s="108" t="inlineStr">
        <is>
          <t>Medium</t>
        </is>
      </c>
      <c r="F12" s="108" t="inlineStr">
        <is>
          <t>Medium</t>
        </is>
      </c>
      <c r="H12" s="26" t="inlineStr">
        <is>
          <t>2017KALDIS COFFEE</t>
        </is>
      </c>
    </row>
    <row r="13">
      <c r="A13" s="107" t="inlineStr">
        <is>
          <t>On Hold</t>
        </is>
      </c>
      <c r="B13" s="107" t="inlineStr">
        <is>
          <t>Red</t>
        </is>
      </c>
      <c r="C13" s="107" t="inlineStr">
        <is>
          <t>High</t>
        </is>
      </c>
      <c r="D13" s="107" t="inlineStr">
        <is>
          <t>Low</t>
        </is>
      </c>
      <c r="E13" s="107" t="inlineStr">
        <is>
          <t>High</t>
        </is>
      </c>
      <c r="F13" s="107" t="inlineStr">
        <is>
          <t>High</t>
        </is>
      </c>
      <c r="H13" s="26" t="inlineStr">
        <is>
          <t>2RN SOLOMON FURNITURE</t>
        </is>
      </c>
    </row>
    <row r="14">
      <c r="A14" s="108" t="inlineStr">
        <is>
          <t>Completed</t>
        </is>
      </c>
      <c r="C14" s="108" t="inlineStr">
        <is>
          <t>Critical</t>
        </is>
      </c>
      <c r="E14" s="108" t="inlineStr">
        <is>
          <t>Critical</t>
        </is>
      </c>
      <c r="F14" s="108" t="inlineStr">
        <is>
          <t>Critical</t>
        </is>
      </c>
      <c r="H14" s="26" t="inlineStr">
        <is>
          <t>4 COUSINS TRADING PLC</t>
        </is>
      </c>
    </row>
    <row r="15">
      <c r="A15" s="107" t="inlineStr">
        <is>
          <t>Cancelled</t>
        </is>
      </c>
      <c r="H15" s="26" t="inlineStr">
        <is>
          <t>A A G HOTEL PLC SAREM INTERNATIONAL HOTEL</t>
        </is>
      </c>
    </row>
    <row r="16">
      <c r="H16" s="26" t="inlineStr">
        <is>
          <t>A A HOTEL PLC</t>
        </is>
      </c>
    </row>
    <row r="17" ht="26" customHeight="1">
      <c r="A17" s="106" t="inlineStr">
        <is>
          <t>RAID TYPE</t>
        </is>
      </c>
      <c r="B17" s="106" t="inlineStr">
        <is>
          <t>RAID STATUS</t>
        </is>
      </c>
      <c r="C17" s="106" t="inlineStr">
        <is>
          <t>RAID CATEGORY</t>
        </is>
      </c>
      <c r="D17" s="106" t="inlineStr">
        <is>
          <t>ACTION STATUS</t>
        </is>
      </c>
      <c r="E17" s="106" t="inlineStr">
        <is>
          <t>CHANGE APPROVAL</t>
        </is>
      </c>
      <c r="F17" s="106" t="inlineStr">
        <is>
          <t>IMPLEMENTATION STATUS</t>
        </is>
      </c>
      <c r="H17" s="26" t="inlineStr">
        <is>
          <t>A A M ADVANCED DIAGNOSTICS PLC</t>
        </is>
      </c>
    </row>
    <row r="18">
      <c r="A18" s="107" t="inlineStr">
        <is>
          <t>Risk</t>
        </is>
      </c>
      <c r="B18" s="107" t="inlineStr">
        <is>
          <t>Open</t>
        </is>
      </c>
      <c r="C18" s="107" t="inlineStr">
        <is>
          <t>Scope</t>
        </is>
      </c>
      <c r="D18" s="107" t="inlineStr">
        <is>
          <t>Open</t>
        </is>
      </c>
      <c r="E18" s="107" t="inlineStr">
        <is>
          <t>Pending</t>
        </is>
      </c>
      <c r="F18" s="107" t="inlineStr">
        <is>
          <t>Not Started</t>
        </is>
      </c>
      <c r="H18" s="26" t="inlineStr">
        <is>
          <t>A A M T TRADING PLC</t>
        </is>
      </c>
    </row>
    <row r="19">
      <c r="A19" s="108" t="inlineStr">
        <is>
          <t>Assumption</t>
        </is>
      </c>
      <c r="B19" s="108" t="inlineStr">
        <is>
          <t>In Progress</t>
        </is>
      </c>
      <c r="C19" s="108" t="inlineStr">
        <is>
          <t>Schedule</t>
        </is>
      </c>
      <c r="D19" s="108" t="inlineStr">
        <is>
          <t>In Progress</t>
        </is>
      </c>
      <c r="E19" s="108" t="inlineStr">
        <is>
          <t>Approved</t>
        </is>
      </c>
      <c r="F19" s="108" t="inlineStr">
        <is>
          <t>In Progress</t>
        </is>
      </c>
      <c r="H19" s="26" t="inlineStr">
        <is>
          <t>A AND S PILLAR TRADING PLC</t>
        </is>
      </c>
    </row>
    <row r="20">
      <c r="A20" s="107" t="inlineStr">
        <is>
          <t>Issue</t>
        </is>
      </c>
      <c r="B20" s="107" t="inlineStr">
        <is>
          <t>Closed</t>
        </is>
      </c>
      <c r="C20" s="107" t="inlineStr">
        <is>
          <t>Budget</t>
        </is>
      </c>
      <c r="D20" s="107" t="inlineStr">
        <is>
          <t>Complete</t>
        </is>
      </c>
      <c r="E20" s="107" t="inlineStr">
        <is>
          <t>Rejected</t>
        </is>
      </c>
      <c r="F20" s="107" t="inlineStr">
        <is>
          <t>Complete</t>
        </is>
      </c>
      <c r="H20" s="26" t="inlineStr">
        <is>
          <t>A AND T FARMS PLC (ADULALA APARTMENT)</t>
        </is>
      </c>
    </row>
    <row r="21">
      <c r="A21" s="108" t="inlineStr">
        <is>
          <t>Dependency</t>
        </is>
      </c>
      <c r="C21" s="108" t="inlineStr">
        <is>
          <t>Resource</t>
        </is>
      </c>
      <c r="D21" s="108" t="inlineStr">
        <is>
          <t>Cancelled</t>
        </is>
      </c>
      <c r="F21" s="108" t="inlineStr">
        <is>
          <t>Deferred</t>
        </is>
      </c>
      <c r="H21" s="26" t="inlineStr">
        <is>
          <t>A ASG PRINTING WORK</t>
        </is>
      </c>
    </row>
    <row r="22">
      <c r="C22" s="107" t="inlineStr">
        <is>
          <t>Technical</t>
        </is>
      </c>
      <c r="H22" s="26" t="inlineStr">
        <is>
          <t>A B ZONE TRADING PLC</t>
        </is>
      </c>
    </row>
    <row r="23">
      <c r="C23" s="108" t="inlineStr">
        <is>
          <t>Vendor</t>
        </is>
      </c>
      <c r="H23" s="26" t="inlineStr">
        <is>
          <t>A D CAR RENTAL (DIL TOUR TRAVEL)</t>
        </is>
      </c>
    </row>
    <row r="24">
      <c r="C24" s="107" t="inlineStr">
        <is>
          <t>Quality</t>
        </is>
      </c>
      <c r="H24" s="26" t="inlineStr">
        <is>
          <t>A I A TRADING GROUP PLC</t>
        </is>
      </c>
    </row>
    <row r="25">
      <c r="C25" s="108" t="inlineStr">
        <is>
          <t>Security</t>
        </is>
      </c>
      <c r="H25" s="26" t="inlineStr">
        <is>
          <t>A L T TRADING PLC</t>
        </is>
      </c>
    </row>
    <row r="26">
      <c r="C26" s="107" t="inlineStr">
        <is>
          <t>Legal</t>
        </is>
      </c>
      <c r="H26" s="26" t="inlineStr">
        <is>
          <t>A M E TRADING PLC</t>
        </is>
      </c>
    </row>
    <row r="27">
      <c r="C27" s="108" t="inlineStr">
        <is>
          <t>Other</t>
        </is>
      </c>
      <c r="H27" s="26" t="inlineStr">
        <is>
          <t>A N F B TRADING PLC</t>
        </is>
      </c>
    </row>
    <row r="28">
      <c r="H28" s="26" t="inlineStr">
        <is>
          <t>A N T GENERAL TRADING AND INDUSTRIES PLC</t>
        </is>
      </c>
    </row>
    <row r="29" ht="26" customHeight="1">
      <c r="A29" s="106" t="inlineStr">
        <is>
          <t>MILESTONE STATUS</t>
        </is>
      </c>
      <c r="B29" s="106" t="inlineStr">
        <is>
          <t>TASK STATUS</t>
        </is>
      </c>
      <c r="C29" s="106" t="inlineStr">
        <is>
          <t>DEPARTMENT</t>
        </is>
      </c>
      <c r="D29" s="106" t="inlineStr">
        <is>
          <t>PROJECT TYPE</t>
        </is>
      </c>
      <c r="E29" s="106" t="inlineStr">
        <is>
          <t>OWNER / TEAM</t>
        </is>
      </c>
      <c r="F29" s="106" t="inlineStr">
        <is>
          <t>ENGAGEMENT LEVEL</t>
        </is>
      </c>
      <c r="H29" s="26" t="inlineStr">
        <is>
          <t>A.G PLC (AG RESTAURANT)</t>
        </is>
      </c>
    </row>
    <row r="30">
      <c r="A30" s="107" t="inlineStr">
        <is>
          <t>Not Started</t>
        </is>
      </c>
      <c r="B30" s="107" t="inlineStr">
        <is>
          <t>Not Started</t>
        </is>
      </c>
      <c r="C30" s="107" t="inlineStr">
        <is>
          <t>IT</t>
        </is>
      </c>
      <c r="D30" s="107" t="inlineStr">
        <is>
          <t>System Implementation</t>
        </is>
      </c>
      <c r="E30" s="107" t="inlineStr">
        <is>
          <t>Ahmed Khan</t>
        </is>
      </c>
      <c r="F30" s="107" t="inlineStr">
        <is>
          <t>Unaware</t>
        </is>
      </c>
      <c r="H30" s="26" t="inlineStr">
        <is>
          <t>A.H SAYA TRADING PLC</t>
        </is>
      </c>
    </row>
    <row r="31">
      <c r="A31" s="108" t="inlineStr">
        <is>
          <t>In Progress</t>
        </is>
      </c>
      <c r="B31" s="108" t="inlineStr">
        <is>
          <t>In Progress</t>
        </is>
      </c>
      <c r="C31" s="108" t="inlineStr">
        <is>
          <t>HR</t>
        </is>
      </c>
      <c r="D31" s="108" t="inlineStr">
        <is>
          <t>Infrastructure</t>
        </is>
      </c>
      <c r="E31" s="108" t="inlineStr">
        <is>
          <t>Lisa Chen</t>
        </is>
      </c>
      <c r="F31" s="108" t="inlineStr">
        <is>
          <t>Resistant</t>
        </is>
      </c>
      <c r="H31" s="26" t="inlineStr">
        <is>
          <t>A.I.A PLC</t>
        </is>
      </c>
    </row>
    <row r="32">
      <c r="A32" s="107" t="inlineStr">
        <is>
          <t>Complete</t>
        </is>
      </c>
      <c r="B32" s="107" t="inlineStr">
        <is>
          <t>Complete</t>
        </is>
      </c>
      <c r="C32" s="107" t="inlineStr">
        <is>
          <t>Finance</t>
        </is>
      </c>
      <c r="D32" s="107" t="inlineStr">
        <is>
          <t>Development</t>
        </is>
      </c>
      <c r="E32" s="107" t="inlineStr">
        <is>
          <t>David Okoro</t>
        </is>
      </c>
      <c r="F32" s="107" t="inlineStr">
        <is>
          <t>Neutral</t>
        </is>
      </c>
      <c r="H32" s="26" t="inlineStr">
        <is>
          <t>A.MEUCCI PLC</t>
        </is>
      </c>
    </row>
    <row r="33">
      <c r="A33" s="108" t="inlineStr">
        <is>
          <t>Delayed</t>
        </is>
      </c>
      <c r="B33" s="108" t="inlineStr">
        <is>
          <t>Blocked</t>
        </is>
      </c>
      <c r="C33" s="108" t="inlineStr">
        <is>
          <t>Marketing</t>
        </is>
      </c>
      <c r="D33" s="108" t="inlineStr">
        <is>
          <t>Process Improvement</t>
        </is>
      </c>
      <c r="E33" s="108" t="inlineStr">
        <is>
          <t>Maria Silva</t>
        </is>
      </c>
      <c r="F33" s="108" t="inlineStr">
        <is>
          <t>Supportive</t>
        </is>
      </c>
      <c r="H33" s="26" t="inlineStr">
        <is>
          <t>A/MINCH TEGBARED GENERAL TRANS/N MAINTENANNCE PLC</t>
        </is>
      </c>
    </row>
    <row r="34">
      <c r="A34" s="107" t="inlineStr">
        <is>
          <t>Cancelled</t>
        </is>
      </c>
      <c r="C34" s="107" t="inlineStr">
        <is>
          <t>Operations</t>
        </is>
      </c>
      <c r="D34" s="107" t="inlineStr">
        <is>
          <t>Compliance</t>
        </is>
      </c>
      <c r="E34" s="107" t="inlineStr">
        <is>
          <t>Priya Raman</t>
        </is>
      </c>
      <c r="F34" s="107" t="inlineStr">
        <is>
          <t>Leading</t>
        </is>
      </c>
      <c r="H34" s="26" t="inlineStr">
        <is>
          <t>AAB AND GAIL SOFA CLEANING</t>
        </is>
      </c>
    </row>
    <row r="35">
      <c r="C35" s="108" t="inlineStr">
        <is>
          <t>Sales</t>
        </is>
      </c>
      <c r="D35" s="108" t="inlineStr">
        <is>
          <t>Maintenance</t>
        </is>
      </c>
      <c r="E35" s="108" t="inlineStr">
        <is>
          <t>Tom Becker</t>
        </is>
      </c>
      <c r="H35" s="26" t="inlineStr">
        <is>
          <t>AB BET TRADING PLC</t>
        </is>
      </c>
    </row>
    <row r="36">
      <c r="C36" s="107" t="inlineStr">
        <is>
          <t>Procurement</t>
        </is>
      </c>
      <c r="E36" s="107" t="inlineStr">
        <is>
          <t>Grace Alemu</t>
        </is>
      </c>
      <c r="H36" s="26" t="inlineStr">
        <is>
          <t>AB PLAST PLC</t>
        </is>
      </c>
    </row>
    <row r="37">
      <c r="C37" s="108" t="inlineStr">
        <is>
          <t>Facilities</t>
        </is>
      </c>
      <c r="E37" s="108" t="inlineStr">
        <is>
          <t>Sarah Mitchell</t>
        </is>
      </c>
      <c r="H37" s="26" t="inlineStr">
        <is>
          <t>ABADER PHARMACY</t>
        </is>
      </c>
    </row>
    <row r="38">
      <c r="H38" s="26" t="inlineStr">
        <is>
          <t>ABADIR SHOPPING CENTER PLC</t>
        </is>
      </c>
    </row>
    <row r="39" ht="26" customHeight="1">
      <c r="A39" s="106" t="inlineStr">
        <is>
          <t>FREQUENCY</t>
        </is>
      </c>
      <c r="B39" s="106" t="inlineStr">
        <is>
          <t>YES / NO</t>
        </is>
      </c>
      <c r="C39" s="106" t="inlineStr">
        <is>
          <t>RACI CODE</t>
        </is>
      </c>
      <c r="D39" s="106" t="inlineStr">
        <is>
          <t>COST CATEGORY</t>
        </is>
      </c>
      <c r="E39" s="106" t="inlineStr">
        <is>
          <t>PROCUREMENT STATUS</t>
        </is>
      </c>
      <c r="F39" s="106" t="inlineStr">
        <is>
          <t>QUALITY RESULT</t>
        </is>
      </c>
      <c r="H39" s="26" t="inlineStr">
        <is>
          <t>ABAT IMPORT AND EXPORT PLC(ABAT GUEST HOUSE)</t>
        </is>
      </c>
    </row>
    <row r="40">
      <c r="A40" s="107" t="inlineStr">
        <is>
          <t>Daily</t>
        </is>
      </c>
      <c r="B40" s="107" t="inlineStr">
        <is>
          <t>Yes</t>
        </is>
      </c>
      <c r="C40" s="107" t="inlineStr">
        <is>
          <t>R</t>
        </is>
      </c>
      <c r="D40" s="107" t="inlineStr">
        <is>
          <t>Personnel</t>
        </is>
      </c>
      <c r="E40" s="107" t="inlineStr">
        <is>
          <t>Requested</t>
        </is>
      </c>
      <c r="F40" s="107" t="inlineStr">
        <is>
          <t>Pass</t>
        </is>
      </c>
      <c r="H40" s="26" t="inlineStr">
        <is>
          <t>ABCAN TRADING PLC</t>
        </is>
      </c>
    </row>
    <row r="41">
      <c r="A41" s="108" t="inlineStr">
        <is>
          <t>Twice Weekly</t>
        </is>
      </c>
      <c r="B41" s="108" t="inlineStr">
        <is>
          <t>No</t>
        </is>
      </c>
      <c r="C41" s="108" t="inlineStr">
        <is>
          <t>A</t>
        </is>
      </c>
      <c r="D41" s="108" t="inlineStr">
        <is>
          <t>Software</t>
        </is>
      </c>
      <c r="E41" s="108" t="inlineStr">
        <is>
          <t>Quotation</t>
        </is>
      </c>
      <c r="F41" s="108" t="inlineStr">
        <is>
          <t>Fail</t>
        </is>
      </c>
      <c r="H41" s="26" t="inlineStr">
        <is>
          <t>ABDELFETAH REDWAN</t>
        </is>
      </c>
    </row>
    <row r="42">
      <c r="A42" s="107" t="inlineStr">
        <is>
          <t>Weekly</t>
        </is>
      </c>
      <c r="C42" s="107" t="inlineStr">
        <is>
          <t>C</t>
        </is>
      </c>
      <c r="D42" s="107" t="inlineStr">
        <is>
          <t>Hardware</t>
        </is>
      </c>
      <c r="E42" s="107" t="inlineStr">
        <is>
          <t>Approval</t>
        </is>
      </c>
      <c r="F42" s="107" t="inlineStr">
        <is>
          <t>Pending</t>
        </is>
      </c>
      <c r="H42" s="26" t="inlineStr">
        <is>
          <t>ABDERAFI COMMERCE AND INDUSTRY PLC</t>
        </is>
      </c>
    </row>
    <row r="43">
      <c r="A43" s="108" t="inlineStr">
        <is>
          <t>Bi-Weekly</t>
        </is>
      </c>
      <c r="C43" s="108" t="inlineStr">
        <is>
          <t>I</t>
        </is>
      </c>
      <c r="D43" s="108" t="inlineStr">
        <is>
          <t>Procurement</t>
        </is>
      </c>
      <c r="E43" s="108" t="inlineStr">
        <is>
          <t>Ordered</t>
        </is>
      </c>
      <c r="F43" s="108" t="inlineStr">
        <is>
          <t>Waived</t>
        </is>
      </c>
      <c r="H43" s="26" t="inlineStr">
        <is>
          <t>ABDI AHMED ABDELLA</t>
        </is>
      </c>
    </row>
    <row r="44">
      <c r="A44" s="107" t="inlineStr">
        <is>
          <t>Monthly</t>
        </is>
      </c>
      <c r="D44" s="107" t="inlineStr">
        <is>
          <t>Consulting</t>
        </is>
      </c>
      <c r="E44" s="107" t="inlineStr">
        <is>
          <t>Delivered</t>
        </is>
      </c>
      <c r="H44" s="26" t="inlineStr">
        <is>
          <t>ABDI FARAH SAID</t>
        </is>
      </c>
    </row>
    <row r="45">
      <c r="A45" s="108" t="inlineStr">
        <is>
          <t>Quarterly</t>
        </is>
      </c>
      <c r="D45" s="108" t="inlineStr">
        <is>
          <t>Training</t>
        </is>
      </c>
      <c r="E45" s="108" t="inlineStr">
        <is>
          <t>Cancelled</t>
        </is>
      </c>
      <c r="H45" s="26" t="inlineStr">
        <is>
          <t>ABDI OSMAN AHMED</t>
        </is>
      </c>
    </row>
    <row r="46">
      <c r="A46" s="107" t="inlineStr">
        <is>
          <t>Ad-hoc</t>
        </is>
      </c>
      <c r="D46" s="107" t="inlineStr">
        <is>
          <t>Travel</t>
        </is>
      </c>
      <c r="H46" s="26" t="inlineStr">
        <is>
          <t>ABDOSH INTERNATIONAL TRADING COMPANY PLC</t>
        </is>
      </c>
    </row>
    <row r="47">
      <c r="D47" s="108" t="inlineStr">
        <is>
          <t>Other</t>
        </is>
      </c>
      <c r="H47" s="26" t="inlineStr">
        <is>
          <t>ABDULEMID KELFA AHMED</t>
        </is>
      </c>
    </row>
    <row r="48">
      <c r="H48" s="26" t="inlineStr">
        <is>
          <t>ABDULFETAH JIBRIL MOHAMMED</t>
        </is>
      </c>
    </row>
    <row r="49" ht="26" customHeight="1">
      <c r="A49" s="106" t="inlineStr">
        <is>
          <t>MEETING TYPE</t>
        </is>
      </c>
      <c r="B49" s="106" t="inlineStr">
        <is>
          <t>DECISION STATUS</t>
        </is>
      </c>
      <c r="C49" s="106" t="inlineStr">
        <is>
          <t>CLOSURE STATUS</t>
        </is>
      </c>
      <c r="D49" s="106" t="inlineStr">
        <is>
          <t>LESSON AREA</t>
        </is>
      </c>
      <c r="E49" s="106" t="inlineStr">
        <is>
          <t>CHANNEL</t>
        </is>
      </c>
      <c r="F49" s="106" t="inlineStr">
        <is>
          <t>FORMAT</t>
        </is>
      </c>
      <c r="H49" s="26" t="inlineStr">
        <is>
          <t>ABDULHAKIM MOHAMED GELATO</t>
        </is>
      </c>
    </row>
    <row r="50">
      <c r="A50" s="107" t="inlineStr">
        <is>
          <t>Project Team</t>
        </is>
      </c>
      <c r="B50" s="107" t="inlineStr">
        <is>
          <t>Pending</t>
        </is>
      </c>
      <c r="C50" s="107" t="inlineStr">
        <is>
          <t>Not Started</t>
        </is>
      </c>
      <c r="D50" s="107" t="inlineStr">
        <is>
          <t>Planning</t>
        </is>
      </c>
      <c r="E50" s="107" t="inlineStr">
        <is>
          <t>Email</t>
        </is>
      </c>
      <c r="F50" s="107" t="inlineStr">
        <is>
          <t>Email</t>
        </is>
      </c>
      <c r="H50" s="26" t="inlineStr">
        <is>
          <t>ABDULHAKIM MOHAMED GELATO RENT</t>
        </is>
      </c>
    </row>
    <row r="51">
      <c r="A51" s="108" t="inlineStr">
        <is>
          <t>Steering Committee</t>
        </is>
      </c>
      <c r="B51" s="108" t="inlineStr">
        <is>
          <t>Decided</t>
        </is>
      </c>
      <c r="C51" s="108" t="inlineStr">
        <is>
          <t>In Progress</t>
        </is>
      </c>
      <c r="D51" s="108" t="inlineStr">
        <is>
          <t>Schedule</t>
        </is>
      </c>
      <c r="E51" s="108" t="inlineStr">
        <is>
          <t>Teams</t>
        </is>
      </c>
      <c r="F51" s="108" t="inlineStr">
        <is>
          <t>Report</t>
        </is>
      </c>
      <c r="H51" s="26" t="inlineStr">
        <is>
          <t>ABDULKERIM TADESS HABIB</t>
        </is>
      </c>
    </row>
    <row r="52">
      <c r="A52" s="107" t="inlineStr">
        <is>
          <t>Sponsor Review</t>
        </is>
      </c>
      <c r="B52" s="107" t="inlineStr">
        <is>
          <t>Deferred</t>
        </is>
      </c>
      <c r="C52" s="107" t="inlineStr">
        <is>
          <t>Complete</t>
        </is>
      </c>
      <c r="D52" s="107" t="inlineStr">
        <is>
          <t>Cost</t>
        </is>
      </c>
      <c r="E52" s="107" t="inlineStr">
        <is>
          <t>Meeting</t>
        </is>
      </c>
      <c r="F52" s="107" t="inlineStr">
        <is>
          <t>Dashboard</t>
        </is>
      </c>
      <c r="H52" s="26" t="inlineStr">
        <is>
          <t>ABDULRAHMAN RASHEDMUSLEH AL-ADEMI</t>
        </is>
      </c>
    </row>
    <row r="53">
      <c r="A53" s="108" t="inlineStr">
        <is>
          <t>Vendor Review</t>
        </is>
      </c>
      <c r="B53" s="108" t="inlineStr">
        <is>
          <t>Rejected</t>
        </is>
      </c>
      <c r="C53" s="108" t="inlineStr">
        <is>
          <t>N/A</t>
        </is>
      </c>
      <c r="D53" s="108" t="inlineStr">
        <is>
          <t>Scope</t>
        </is>
      </c>
      <c r="E53" s="108" t="inlineStr">
        <is>
          <t>SharePoint</t>
        </is>
      </c>
      <c r="F53" s="108" t="inlineStr">
        <is>
          <t>Presentation</t>
        </is>
      </c>
      <c r="H53" s="26" t="inlineStr">
        <is>
          <t>ABDULSETAR ABOUBAKER MOHAMMED</t>
        </is>
      </c>
    </row>
    <row r="54">
      <c r="A54" s="107" t="inlineStr">
        <is>
          <t>PMO Review</t>
        </is>
      </c>
      <c r="D54" s="107" t="inlineStr">
        <is>
          <t>Quality</t>
        </is>
      </c>
      <c r="E54" s="107" t="inlineStr">
        <is>
          <t>Portal</t>
        </is>
      </c>
      <c r="F54" s="107" t="inlineStr">
        <is>
          <t>Meeting</t>
        </is>
      </c>
      <c r="H54" s="26" t="inlineStr">
        <is>
          <t>ABDURAHMAN DURI ABDULAHI</t>
        </is>
      </c>
    </row>
    <row r="55">
      <c r="A55" s="108" t="inlineStr">
        <is>
          <t>Ad-hoc</t>
        </is>
      </c>
      <c r="D55" s="108" t="inlineStr">
        <is>
          <t>Resource</t>
        </is>
      </c>
      <c r="E55" s="108" t="inlineStr">
        <is>
          <t>Report</t>
        </is>
      </c>
      <c r="H55" s="26" t="inlineStr">
        <is>
          <t>ABDURISAK MAHDI BILE</t>
        </is>
      </c>
    </row>
    <row r="56">
      <c r="D56" s="107" t="inlineStr">
        <is>
          <t>Communication</t>
        </is>
      </c>
      <c r="H56" s="26" t="inlineStr">
        <is>
          <t>ABEBA GEBREGZIABHER TEKLEMICHAEL</t>
        </is>
      </c>
    </row>
    <row r="57">
      <c r="D57" s="108" t="inlineStr">
        <is>
          <t>Risk</t>
        </is>
      </c>
      <c r="H57" s="26" t="inlineStr">
        <is>
          <t>ABEBA MOGES BEYENE (AVI GENERAL TRADING)</t>
        </is>
      </c>
    </row>
    <row r="58">
      <c r="D58" s="107" t="inlineStr">
        <is>
          <t>Vendor</t>
        </is>
      </c>
      <c r="H58" s="26" t="inlineStr">
        <is>
          <t>ABEBE AYALEW CAR SPARE PARTS</t>
        </is>
      </c>
    </row>
    <row r="59">
      <c r="D59" s="108" t="inlineStr">
        <is>
          <t>Requirements</t>
        </is>
      </c>
      <c r="H59" s="26" t="inlineStr">
        <is>
          <t>ABEBE WONDMU AJEMU(MULU-AB HOTEL)</t>
        </is>
      </c>
    </row>
    <row r="60">
      <c r="D60" s="107" t="inlineStr">
        <is>
          <t>Testing</t>
        </is>
      </c>
      <c r="H60" s="26" t="inlineStr">
        <is>
          <t>ABEBECH  GEBREMEDIN NEGA(YOD JAME HOTEL)</t>
        </is>
      </c>
    </row>
    <row r="61">
      <c r="H61" s="26" t="inlineStr">
        <is>
          <t>ABEBECH TEFERA MEKONNEN</t>
        </is>
      </c>
    </row>
    <row r="62" ht="26" customHeight="1">
      <c r="A62" s="106" t="inlineStr">
        <is>
          <t>FILTER - STATUS</t>
        </is>
      </c>
      <c r="B62" s="106" t="inlineStr">
        <is>
          <t>FILTER - RAG</t>
        </is>
      </c>
      <c r="C62" s="106" t="inlineStr">
        <is>
          <t>FILTER - MANAGER</t>
        </is>
      </c>
      <c r="H62" s="26" t="inlineStr">
        <is>
          <t>ABEBO GEREME DEMISU</t>
        </is>
      </c>
    </row>
    <row r="63">
      <c r="A63" s="107" t="inlineStr">
        <is>
          <t>All</t>
        </is>
      </c>
      <c r="B63" s="107" t="inlineStr">
        <is>
          <t>All</t>
        </is>
      </c>
      <c r="C63" s="107" t="inlineStr">
        <is>
          <t>All</t>
        </is>
      </c>
      <c r="H63" s="26" t="inlineStr">
        <is>
          <t>ABEL ADISU TESEMA</t>
        </is>
      </c>
    </row>
    <row r="64">
      <c r="A64" s="108" t="inlineStr">
        <is>
          <t>Not Started</t>
        </is>
      </c>
      <c r="B64" s="108" t="inlineStr">
        <is>
          <t>Green</t>
        </is>
      </c>
      <c r="C64" s="108" t="inlineStr">
        <is>
          <t>Ahmed Khan</t>
        </is>
      </c>
      <c r="H64" s="26" t="inlineStr">
        <is>
          <t>ABEL SHEWAREGA HOTEL</t>
        </is>
      </c>
    </row>
    <row r="65">
      <c r="A65" s="107" t="inlineStr">
        <is>
          <t>Active</t>
        </is>
      </c>
      <c r="B65" s="107" t="inlineStr">
        <is>
          <t>Yellow</t>
        </is>
      </c>
      <c r="C65" s="107" t="inlineStr">
        <is>
          <t>Lisa Chen</t>
        </is>
      </c>
      <c r="H65" s="26" t="inlineStr">
        <is>
          <t>ABELANTE IMPORT PLC</t>
        </is>
      </c>
    </row>
    <row r="66">
      <c r="A66" s="108" t="inlineStr">
        <is>
          <t>On Hold</t>
        </is>
      </c>
      <c r="B66" s="108" t="inlineStr">
        <is>
          <t>Red</t>
        </is>
      </c>
      <c r="C66" s="108" t="inlineStr">
        <is>
          <t>David Okoro</t>
        </is>
      </c>
      <c r="H66" s="26" t="inlineStr">
        <is>
          <t>ABENDEM CULTURAL RESTAURANT PLC</t>
        </is>
      </c>
    </row>
    <row r="67">
      <c r="A67" s="107" t="inlineStr">
        <is>
          <t>Completed</t>
        </is>
      </c>
      <c r="C67" s="107" t="inlineStr">
        <is>
          <t>Maria Silva</t>
        </is>
      </c>
      <c r="H67" s="26" t="inlineStr">
        <is>
          <t>ABENET GOREFA DEMAMU</t>
        </is>
      </c>
    </row>
    <row r="68">
      <c r="A68" s="108" t="inlineStr">
        <is>
          <t>Cancelled</t>
        </is>
      </c>
      <c r="C68" s="108" t="inlineStr">
        <is>
          <t>Priya Raman</t>
        </is>
      </c>
      <c r="H68" s="26" t="inlineStr">
        <is>
          <t>ABERA LORATO BASHA</t>
        </is>
      </c>
    </row>
    <row r="69">
      <c r="C69" s="107" t="inlineStr">
        <is>
          <t>Tom Becker</t>
        </is>
      </c>
      <c r="H69" s="26" t="inlineStr">
        <is>
          <t>ABERASH ALEMAYEHU WORJI</t>
        </is>
      </c>
    </row>
    <row r="70">
      <c r="C70" s="108" t="inlineStr">
        <is>
          <t>Grace Alemu</t>
        </is>
      </c>
      <c r="H70" s="26" t="inlineStr">
        <is>
          <t>ABESELOM TSEGAYE GIZAW</t>
        </is>
      </c>
    </row>
    <row r="71">
      <c r="C71" s="107" t="inlineStr">
        <is>
          <t>Sarah Mitchell</t>
        </is>
      </c>
      <c r="H71" s="26" t="inlineStr">
        <is>
          <t>ABEY ALEMAYEHU LEMA</t>
        </is>
      </c>
    </row>
    <row r="72">
      <c r="H72" s="26" t="inlineStr">
        <is>
          <t>ABH PARTNERS PLC</t>
        </is>
      </c>
    </row>
    <row r="73">
      <c r="A73" s="3" t="inlineStr">
        <is>
          <t>TIP: to retire a value, remove it from the list - existing records keep it, new drop-downs no longer offer it.</t>
        </is>
      </c>
      <c r="H73" s="26" t="inlineStr">
        <is>
          <t>ABIGAIL SOLOMON DEMISSIE(NOR INTERNATIONAL HOTEL)</t>
        </is>
      </c>
    </row>
    <row r="74">
      <c r="H74" s="26" t="inlineStr">
        <is>
          <t>ABIRAK MEDICAL SERVICE PLC</t>
        </is>
      </c>
    </row>
    <row r="75">
      <c r="H75" s="26" t="inlineStr">
        <is>
          <t>ABIY MESFIN WONDMAGENHU</t>
        </is>
      </c>
    </row>
    <row r="76">
      <c r="H76" s="26" t="inlineStr">
        <is>
          <t>ABIYI GERESU AFRESA</t>
        </is>
      </c>
    </row>
    <row r="77">
      <c r="H77" s="26" t="inlineStr">
        <is>
          <t>ABIYOT KEBEDE</t>
        </is>
      </c>
    </row>
    <row r="78">
      <c r="H78" s="26" t="inlineStr">
        <is>
          <t>ABKON TRADING PLC</t>
        </is>
      </c>
    </row>
    <row r="79">
      <c r="H79" s="26" t="inlineStr">
        <is>
          <t>ABNA CHARISMA TRADING PLC</t>
        </is>
      </c>
    </row>
    <row r="80">
      <c r="H80" s="26" t="inlineStr">
        <is>
          <t>ABNE METAL MANUFACTURING ONE MEMBER PLC</t>
        </is>
      </c>
    </row>
    <row r="81">
      <c r="H81" s="26" t="inlineStr">
        <is>
          <t>ABNK TRADING PLC</t>
        </is>
      </c>
    </row>
    <row r="82">
      <c r="H82" s="26" t="inlineStr">
        <is>
          <t>ABOSETUGN BAHIRU MINDAHUN</t>
        </is>
      </c>
    </row>
    <row r="83">
      <c r="H83" s="26" t="inlineStr">
        <is>
          <t>ABOWORK KIDANE DEBEL</t>
        </is>
      </c>
    </row>
    <row r="84">
      <c r="H84" s="26" t="inlineStr">
        <is>
          <t>ABRAHAM ATKELT GEDAMU</t>
        </is>
      </c>
    </row>
    <row r="85">
      <c r="H85" s="26" t="inlineStr">
        <is>
          <t>ABRAHAM DERES TESFAW</t>
        </is>
      </c>
    </row>
    <row r="86">
      <c r="H86" s="26" t="inlineStr">
        <is>
          <t>ABRAHAM NEGA</t>
        </is>
      </c>
    </row>
    <row r="87">
      <c r="H87" s="26" t="inlineStr">
        <is>
          <t>ABREHAM AMOGNE ASEGIDEW</t>
        </is>
      </c>
    </row>
    <row r="88">
      <c r="H88" s="26" t="inlineStr">
        <is>
          <t>ABREHAM MEHARI BEYENE</t>
        </is>
      </c>
    </row>
    <row r="89">
      <c r="H89" s="26" t="inlineStr">
        <is>
          <t>ABREHAM MULUGETA HOTEL</t>
        </is>
      </c>
    </row>
    <row r="90">
      <c r="H90" s="26" t="inlineStr">
        <is>
          <t>ABRHAM TADESSE FACTORY PRODUCTS</t>
        </is>
      </c>
    </row>
    <row r="91">
      <c r="H91" s="26" t="inlineStr">
        <is>
          <t>ABRHET GEBREMESEKEL HAGOS</t>
        </is>
      </c>
    </row>
    <row r="92">
      <c r="H92" s="26" t="inlineStr">
        <is>
          <t>ABU MORKAMA</t>
        </is>
      </c>
    </row>
    <row r="93">
      <c r="H93" s="26" t="inlineStr">
        <is>
          <t>ABUBAKER MUZMIL KEMAL</t>
        </is>
      </c>
    </row>
    <row r="94">
      <c r="H94" s="26" t="inlineStr">
        <is>
          <t>ABUNU MAMO WANORA</t>
        </is>
      </c>
    </row>
    <row r="95">
      <c r="H95" s="26" t="inlineStr">
        <is>
          <t>ABYE ASRES MEKONENE</t>
        </is>
      </c>
    </row>
    <row r="96">
      <c r="H96" s="26" t="inlineStr">
        <is>
          <t>ABYSINIA PHARMACY</t>
        </is>
      </c>
    </row>
    <row r="97">
      <c r="H97" s="26" t="inlineStr">
        <is>
          <t>ABYSSINAY COFFEE (RAHEL AMBAYE)</t>
        </is>
      </c>
    </row>
    <row r="98">
      <c r="H98" s="26" t="inlineStr">
        <is>
          <t>ABYSSINIA TRADING AA</t>
        </is>
      </c>
    </row>
    <row r="99">
      <c r="H99" s="26" t="inlineStr">
        <is>
          <t>ABYSSINIA TRADING DESSIE</t>
        </is>
      </c>
    </row>
    <row r="100">
      <c r="H100" s="26" t="inlineStr">
        <is>
          <t>ACACIA TOURS TRAVEL AGENCY AND TRADING PLC</t>
        </is>
      </c>
    </row>
    <row r="101">
      <c r="H101" s="26" t="inlineStr">
        <is>
          <t>ACHAMYELESH CHAFO</t>
        </is>
      </c>
    </row>
    <row r="102">
      <c r="H102" s="26" t="inlineStr">
        <is>
          <t>ACORDIA INVESTMENTS GROUP PLC</t>
        </is>
      </c>
    </row>
    <row r="103">
      <c r="H103" s="26" t="inlineStr">
        <is>
          <t>ACTIVE TRADING PLC</t>
        </is>
      </c>
    </row>
    <row r="104">
      <c r="H104" s="26" t="inlineStr">
        <is>
          <t>ADAG INTERNATIONAL PLC</t>
        </is>
      </c>
    </row>
    <row r="105">
      <c r="H105" s="26" t="inlineStr">
        <is>
          <t>ADAGO MIDROC TRADING PLC</t>
        </is>
      </c>
    </row>
    <row r="106">
      <c r="H106" s="26" t="inlineStr">
        <is>
          <t>ADALBERTO FREZZA ALBERTO</t>
        </is>
      </c>
    </row>
    <row r="107">
      <c r="H107" s="26" t="inlineStr">
        <is>
          <t>ADAM AND FAMILY HOTEL PLC</t>
        </is>
      </c>
    </row>
    <row r="108">
      <c r="H108" s="26" t="inlineStr">
        <is>
          <t>ADAM CONSTRUCTION PLC</t>
        </is>
      </c>
    </row>
    <row r="109">
      <c r="H109" s="26" t="inlineStr">
        <is>
          <t>ADAMA GERMAN HOTEL</t>
        </is>
      </c>
    </row>
    <row r="110">
      <c r="H110" s="26" t="inlineStr">
        <is>
          <t>ADAMA MEKONNEN HOTEL PLC</t>
        </is>
      </c>
    </row>
    <row r="111">
      <c r="H111" s="26" t="inlineStr">
        <is>
          <t>ADAMA STEEL PLC</t>
        </is>
      </c>
    </row>
    <row r="112">
      <c r="H112" s="26" t="inlineStr">
        <is>
          <t>ADANE GEBEREGIORGIS</t>
        </is>
      </c>
    </row>
    <row r="113">
      <c r="H113" s="26" t="inlineStr">
        <is>
          <t>ADANE GONEFA DABI YABNE CONSTRUCTION</t>
        </is>
      </c>
    </row>
    <row r="114">
      <c r="H114" s="26" t="inlineStr">
        <is>
          <t>ADANE HOTEL 2018</t>
        </is>
      </c>
    </row>
    <row r="115">
      <c r="H115" s="26" t="inlineStr">
        <is>
          <t>ADANE NIGUSSIE</t>
        </is>
      </c>
    </row>
    <row r="116">
      <c r="H116" s="26" t="inlineStr">
        <is>
          <t>ADD BURGER</t>
        </is>
      </c>
    </row>
    <row r="117">
      <c r="H117" s="26" t="inlineStr">
        <is>
          <t>ADDGET DESIGN AND PRINT</t>
        </is>
      </c>
    </row>
    <row r="118">
      <c r="H118" s="26" t="inlineStr">
        <is>
          <t>ADDIMELA MANUFACTURING PLC</t>
        </is>
      </c>
    </row>
    <row r="119">
      <c r="H119" s="26" t="inlineStr">
        <is>
          <t>ADDIS CARDIAC HOSPITAL PLC</t>
        </is>
      </c>
    </row>
    <row r="120">
      <c r="H120" s="26" t="inlineStr">
        <is>
          <t>ADDIS CHICKEN</t>
        </is>
      </c>
    </row>
    <row r="121">
      <c r="H121" s="26" t="inlineStr">
        <is>
          <t>ADDIS COMPANY PLC</t>
        </is>
      </c>
    </row>
    <row r="122">
      <c r="H122" s="26" t="inlineStr">
        <is>
          <t>ADDIS ECO TRADE</t>
        </is>
      </c>
    </row>
    <row r="123">
      <c r="H123" s="26" t="inlineStr">
        <is>
          <t>ADDIS GEBREMARIAM MELESSE</t>
        </is>
      </c>
    </row>
    <row r="124">
      <c r="H124" s="26" t="inlineStr">
        <is>
          <t>ADDIS HAILE</t>
        </is>
      </c>
    </row>
    <row r="125">
      <c r="H125" s="26" t="inlineStr">
        <is>
          <t>ADDIS HIWOT GENERAL HOSPITAL PLC</t>
        </is>
      </c>
    </row>
    <row r="126">
      <c r="H126" s="26" t="inlineStr">
        <is>
          <t>ADDIS HOME DEPOT PLC</t>
        </is>
      </c>
    </row>
    <row r="127">
      <c r="H127" s="26" t="inlineStr">
        <is>
          <t>ADDIS IMAGING TRADING</t>
        </is>
      </c>
    </row>
    <row r="128">
      <c r="H128" s="26" t="inlineStr">
        <is>
          <t>ADDIS INTERNATIONAL CATERING PLC</t>
        </is>
      </c>
    </row>
    <row r="129">
      <c r="H129" s="26" t="inlineStr">
        <is>
          <t>ADDIS MART PLC</t>
        </is>
      </c>
    </row>
    <row r="130">
      <c r="H130" s="26" t="inlineStr">
        <is>
          <t>ADDIS MOJO EDIBLE</t>
        </is>
      </c>
    </row>
    <row r="131">
      <c r="H131" s="26" t="inlineStr">
        <is>
          <t>ADDIS PARK DEVELOPMENT AND MANAGEMENT PLC</t>
        </is>
      </c>
    </row>
    <row r="132">
      <c r="H132" s="26" t="inlineStr">
        <is>
          <t>ADDIS PATH PLC</t>
        </is>
      </c>
    </row>
    <row r="133">
      <c r="H133" s="26" t="inlineStr">
        <is>
          <t>ADDIS PHARMACEURICAL FACTORY PLC</t>
        </is>
      </c>
    </row>
    <row r="134">
      <c r="H134" s="26" t="inlineStr">
        <is>
          <t>ADDIS PREMIX TRADING ONE MEMBER PLC</t>
        </is>
      </c>
    </row>
    <row r="135">
      <c r="H135" s="26" t="inlineStr">
        <is>
          <t>ADDIS TAIM PLC</t>
        </is>
      </c>
    </row>
    <row r="136">
      <c r="H136" s="26" t="inlineStr">
        <is>
          <t>ADDIS VIEW HOTEL</t>
        </is>
      </c>
    </row>
    <row r="137">
      <c r="H137" s="26" t="inlineStr">
        <is>
          <t>ADDISALEM CHERENET AGONAFER</t>
        </is>
      </c>
    </row>
    <row r="138">
      <c r="H138" s="26" t="inlineStr">
        <is>
          <t>ADDISANA FOOD PLC</t>
        </is>
      </c>
    </row>
    <row r="139">
      <c r="H139" s="26" t="inlineStr">
        <is>
          <t>ADDISS INTERNATIONAL CATERING PLC</t>
        </is>
      </c>
    </row>
    <row r="140">
      <c r="H140" s="26" t="inlineStr">
        <is>
          <t>ADDISSINIA HOTEL</t>
        </is>
      </c>
    </row>
    <row r="141">
      <c r="H141" s="26" t="inlineStr">
        <is>
          <t>ADDISU HAILE MANDEFRO</t>
        </is>
      </c>
    </row>
    <row r="142">
      <c r="H142" s="26" t="inlineStr">
        <is>
          <t>ADDISU NURBEZA TEREGA</t>
        </is>
      </c>
    </row>
    <row r="143">
      <c r="H143" s="26" t="inlineStr">
        <is>
          <t>ADEB ENGINEERING AND TRADING PLC</t>
        </is>
      </c>
    </row>
    <row r="144">
      <c r="H144" s="26" t="inlineStr">
        <is>
          <t>ADEM BIDAR MOHAMMED CAFE BONJOUR</t>
        </is>
      </c>
    </row>
    <row r="145">
      <c r="H145" s="26" t="inlineStr">
        <is>
          <t>ADERA MEDICAL CENTER</t>
        </is>
      </c>
    </row>
    <row r="146">
      <c r="H146" s="26" t="inlineStr">
        <is>
          <t>ADEY AFEWORK ALENE</t>
        </is>
      </c>
    </row>
    <row r="147">
      <c r="H147" s="26" t="inlineStr">
        <is>
          <t>ADEY PHARMACEUTICAL</t>
        </is>
      </c>
    </row>
    <row r="148">
      <c r="H148" s="26" t="inlineStr">
        <is>
          <t>ADEY TSENSAE MEDIA AND ENTERTAINMENT PLC</t>
        </is>
      </c>
    </row>
    <row r="149">
      <c r="H149" s="26" t="inlineStr">
        <is>
          <t>ADILA HOTEL</t>
        </is>
      </c>
    </row>
    <row r="150">
      <c r="H150" s="26" t="inlineStr">
        <is>
          <t>ADINEW GIRMA DEBOCH</t>
        </is>
      </c>
    </row>
    <row r="151">
      <c r="H151" s="26" t="inlineStr">
        <is>
          <t>ADISSU ABATHUN</t>
        </is>
      </c>
    </row>
    <row r="152">
      <c r="H152" s="26" t="inlineStr">
        <is>
          <t>ADISU MULUNEH</t>
        </is>
      </c>
    </row>
    <row r="153">
      <c r="H153" s="26" t="inlineStr">
        <is>
          <t>ADMAS MATERIALS PLC</t>
        </is>
      </c>
    </row>
    <row r="154">
      <c r="H154" s="26" t="inlineStr">
        <is>
          <t>ADMIRAL LAUNDERY AND CAFE WORK PLC</t>
        </is>
      </c>
    </row>
    <row r="155">
      <c r="H155" s="26" t="inlineStr">
        <is>
          <t>ADNAN RASHID MAHAMED</t>
        </is>
      </c>
    </row>
    <row r="156">
      <c r="H156" s="26" t="inlineStr">
        <is>
          <t>ADORSI COFFEE ONE MEMBER PLC</t>
        </is>
      </c>
    </row>
    <row r="157">
      <c r="H157" s="26" t="inlineStr">
        <is>
          <t>ADOT CINEMA</t>
        </is>
      </c>
    </row>
    <row r="158">
      <c r="H158" s="26" t="inlineStr">
        <is>
          <t>ADOT TINA HOTEL</t>
        </is>
      </c>
    </row>
    <row r="159">
      <c r="H159" s="26" t="inlineStr">
        <is>
          <t>AEMFI OR EIFTRI</t>
        </is>
      </c>
    </row>
    <row r="160">
      <c r="H160" s="26" t="inlineStr">
        <is>
          <t>AEMRO MOTOR WORKSHOP ENGINEERNIG</t>
        </is>
      </c>
    </row>
    <row r="161">
      <c r="H161" s="26" t="inlineStr">
        <is>
          <t>AFAR SALT PROCESSING AND PRODUCTION PLC</t>
        </is>
      </c>
    </row>
    <row r="162">
      <c r="H162" s="26" t="inlineStr">
        <is>
          <t>AFEWORK TILAHUN</t>
        </is>
      </c>
    </row>
    <row r="163">
      <c r="H163" s="26" t="inlineStr">
        <is>
          <t>AFRAH MOHAMMED KEMAL</t>
        </is>
      </c>
    </row>
    <row r="164">
      <c r="H164" s="26" t="inlineStr">
        <is>
          <t>AFRAN HOUSE HOLD MANUFACTURING PLC</t>
        </is>
      </c>
    </row>
    <row r="165">
      <c r="H165" s="26" t="inlineStr">
        <is>
          <t>AFRI MED TRADING PLC</t>
        </is>
      </c>
    </row>
    <row r="166">
      <c r="H166" s="26" t="inlineStr">
        <is>
          <t>AFRICAN LAKES ETHIOPIA PLC</t>
        </is>
      </c>
    </row>
    <row r="167">
      <c r="H167" s="26" t="inlineStr">
        <is>
          <t>AFRICAN OIL PLC</t>
        </is>
      </c>
    </row>
    <row r="168">
      <c r="H168" s="26" t="inlineStr">
        <is>
          <t>AFRICAYE SWEETS AND BAKERY PLC</t>
        </is>
      </c>
    </row>
    <row r="169">
      <c r="H169" s="26" t="inlineStr">
        <is>
          <t>AFRIMEX FOOD PROCESSING PLC</t>
        </is>
      </c>
    </row>
    <row r="170">
      <c r="H170" s="26" t="inlineStr">
        <is>
          <t>AFRISKAY PLC</t>
        </is>
      </c>
    </row>
    <row r="171">
      <c r="H171" s="26" t="inlineStr">
        <is>
          <t>AFRO EDUCATION AND TRADING DEVELOPMENT PLC</t>
        </is>
      </c>
    </row>
    <row r="172">
      <c r="H172" s="26" t="inlineStr">
        <is>
          <t>AFRO GROOVE CAFE RESTAURANT AND LOUNGE PLC</t>
        </is>
      </c>
    </row>
    <row r="173">
      <c r="H173" s="26" t="inlineStr">
        <is>
          <t>AFRO MILE TRADING PLC</t>
        </is>
      </c>
    </row>
    <row r="174">
      <c r="H174" s="26" t="inlineStr">
        <is>
          <t>AFRO OIL MANUFACTURING PLC</t>
        </is>
      </c>
    </row>
    <row r="175">
      <c r="H175" s="26" t="inlineStr">
        <is>
          <t>AFRO STEEL PLC</t>
        </is>
      </c>
    </row>
    <row r="176">
      <c r="H176" s="26" t="inlineStr">
        <is>
          <t>AFRO TECH SYSTEMS PLC</t>
        </is>
      </c>
    </row>
    <row r="177">
      <c r="H177" s="26" t="inlineStr">
        <is>
          <t>AG GRACE HOME WARE TRADING PLC</t>
        </is>
      </c>
    </row>
    <row r="178">
      <c r="H178" s="26" t="inlineStr">
        <is>
          <t>AG HOUSE HOLD AND OFFICE FURNITURE MANUFACTURING PLC</t>
        </is>
      </c>
    </row>
    <row r="179">
      <c r="H179" s="26" t="inlineStr">
        <is>
          <t>AGAZWORK GENERAL BUSINESS PLC</t>
        </is>
      </c>
    </row>
    <row r="180">
      <c r="H180" s="26" t="inlineStr">
        <is>
          <t>AGERENESH BELAYNEH HAILEGEBRIEL</t>
        </is>
      </c>
    </row>
    <row r="181">
      <c r="H181" s="26" t="inlineStr">
        <is>
          <t>AGONAFER WEDAJO TIKO</t>
        </is>
      </c>
    </row>
    <row r="182">
      <c r="H182" s="26" t="inlineStr">
        <is>
          <t>AGP POULTRY PLC</t>
        </is>
      </c>
    </row>
    <row r="183">
      <c r="H183" s="26" t="inlineStr">
        <is>
          <t>AGRI SHARE TRADING PLC</t>
        </is>
      </c>
    </row>
    <row r="184">
      <c r="H184" s="26" t="inlineStr">
        <is>
          <t>AHADU BUSINESS GROUP PLC</t>
        </is>
      </c>
    </row>
    <row r="185">
      <c r="H185" s="26" t="inlineStr">
        <is>
          <t>AHEZA GEBRE DESTA</t>
        </is>
      </c>
    </row>
    <row r="186">
      <c r="H186" s="26" t="inlineStr">
        <is>
          <t>AHF INTERNATIONAL IMPORT AND EXPORT PLC</t>
        </is>
      </c>
    </row>
    <row r="187">
      <c r="H187" s="26" t="inlineStr">
        <is>
          <t>AHMED ABDULAHI SAHIL</t>
        </is>
      </c>
    </row>
    <row r="188">
      <c r="H188" s="26" t="inlineStr">
        <is>
          <t>AHMED HAJI WASE</t>
        </is>
      </c>
    </row>
    <row r="189">
      <c r="H189" s="26" t="inlineStr">
        <is>
          <t>AHUN TRADING ONE MEMBER PLC</t>
        </is>
      </c>
    </row>
    <row r="190">
      <c r="H190" s="26" t="inlineStr">
        <is>
          <t>AHY HOTEL</t>
        </is>
      </c>
    </row>
    <row r="191">
      <c r="H191" s="26" t="inlineStr">
        <is>
          <t>AIDUNA AITNAFA BEKELA</t>
        </is>
      </c>
    </row>
    <row r="192">
      <c r="H192" s="26" t="inlineStr">
        <is>
          <t>AIM TRADING PLC</t>
        </is>
      </c>
    </row>
    <row r="193">
      <c r="H193" s="26" t="inlineStr">
        <is>
          <t>AIR FORCE MEKONENOCH</t>
        </is>
      </c>
    </row>
    <row r="194">
      <c r="H194" s="26" t="inlineStr">
        <is>
          <t>AJORA GYNECOLOGY AND OBSTETRICS</t>
        </is>
      </c>
    </row>
    <row r="195">
      <c r="H195" s="26" t="inlineStr">
        <is>
          <t>AKAKAS LOGISTICS PLC</t>
        </is>
      </c>
    </row>
    <row r="196">
      <c r="H196" s="26" t="inlineStr">
        <is>
          <t>AKE TRADING PLC</t>
        </is>
      </c>
    </row>
    <row r="197">
      <c r="H197" s="26" t="inlineStr">
        <is>
          <t>AKLILU KASA CHIRISA</t>
        </is>
      </c>
    </row>
    <row r="198">
      <c r="H198" s="26" t="inlineStr">
        <is>
          <t>AKMAS GENERAL TRADING PLC</t>
        </is>
      </c>
    </row>
    <row r="199">
      <c r="H199" s="26" t="inlineStr">
        <is>
          <t>AKOTET RESTAURANT ONE MEMBER PLC</t>
        </is>
      </c>
    </row>
    <row r="200">
      <c r="H200" s="26" t="inlineStr">
        <is>
          <t>AKOYA GENERAL TRADING PLC</t>
        </is>
      </c>
    </row>
    <row r="201">
      <c r="H201" s="26" t="inlineStr">
        <is>
          <t>AKUKULU HYPERMARKET</t>
        </is>
      </c>
    </row>
    <row r="202">
      <c r="H202" s="26" t="inlineStr">
        <is>
          <t>AL ADIB IMPORT AND EXPORT PLC</t>
        </is>
      </c>
    </row>
    <row r="203">
      <c r="H203" s="26" t="inlineStr">
        <is>
          <t>AL AFIA SC</t>
        </is>
      </c>
    </row>
    <row r="204">
      <c r="H204" s="26" t="inlineStr">
        <is>
          <t>AL BAN IMPORT EXPORT</t>
        </is>
      </c>
    </row>
    <row r="205">
      <c r="H205" s="26" t="inlineStr">
        <is>
          <t>AL RAYAAN REALSTATE DEVELOPMENT PLC</t>
        </is>
      </c>
    </row>
    <row r="206">
      <c r="H206" s="26" t="inlineStr">
        <is>
          <t>ALADIAN TRADING PLC</t>
        </is>
      </c>
    </row>
    <row r="207">
      <c r="H207" s="26" t="inlineStr">
        <is>
          <t>ALASSANDRA FREZZA ALBERTO(FOOD BOTIQUE)</t>
        </is>
      </c>
    </row>
    <row r="208">
      <c r="H208" s="26" t="inlineStr">
        <is>
          <t>ALBIS SHAREW TENAGNE</t>
        </is>
      </c>
    </row>
    <row r="209">
      <c r="H209" s="26" t="inlineStr">
        <is>
          <t>ALEBELE BILILNGE AYNALEM (ORGANO SHAKE)</t>
        </is>
      </c>
    </row>
    <row r="210">
      <c r="H210" s="26" t="inlineStr">
        <is>
          <t>ALEKEB HOTEL</t>
        </is>
      </c>
    </row>
    <row r="211">
      <c r="H211" s="26" t="inlineStr">
        <is>
          <t>ALEM BAREGA TIRFE</t>
        </is>
      </c>
    </row>
    <row r="212">
      <c r="H212" s="26" t="inlineStr">
        <is>
          <t>ALEM BERHE ATSBAHA</t>
        </is>
      </c>
    </row>
    <row r="213">
      <c r="H213" s="26" t="inlineStr">
        <is>
          <t>ALEM CINEMA</t>
        </is>
      </c>
    </row>
    <row r="214">
      <c r="H214" s="26" t="inlineStr">
        <is>
          <t>ALEM GENERAL FIBER GLASS PLC</t>
        </is>
      </c>
    </row>
    <row r="215">
      <c r="H215" s="26" t="inlineStr">
        <is>
          <t>ALEMA FARMS PLC</t>
        </is>
      </c>
    </row>
    <row r="216">
      <c r="H216" s="26" t="inlineStr">
        <is>
          <t>ALEMA KOUDIJS FEED PLC</t>
        </is>
      </c>
    </row>
    <row r="217">
      <c r="H217" s="26" t="inlineStr">
        <is>
          <t>ALEMAYEHU BAHRU (BEREKET BULDING MATERIAL)</t>
        </is>
      </c>
    </row>
    <row r="218">
      <c r="H218" s="26" t="inlineStr">
        <is>
          <t>ALEMAYEHU BEKELE JIMMA</t>
        </is>
      </c>
    </row>
    <row r="219">
      <c r="H219" s="26" t="inlineStr">
        <is>
          <t>ALEMAYEHU CHAKA</t>
        </is>
      </c>
    </row>
    <row r="220">
      <c r="H220" s="26" t="inlineStr">
        <is>
          <t>ALEMAYEHU FANTU WOLDEYESUS</t>
        </is>
      </c>
    </row>
    <row r="221">
      <c r="H221" s="26" t="inlineStr">
        <is>
          <t>ALEMBIRHAN BISRAT</t>
        </is>
      </c>
    </row>
    <row r="222">
      <c r="H222" s="26" t="inlineStr">
        <is>
          <t>ALEMEGENET REAL ESTATE  PLC</t>
        </is>
      </c>
    </row>
    <row r="223">
      <c r="H223" s="26" t="inlineStr">
        <is>
          <t>ALEMI NEGASA MULETA</t>
        </is>
      </c>
    </row>
    <row r="224">
      <c r="H224" s="26" t="inlineStr">
        <is>
          <t>ALEMTSEHAY ZELEKE DUKI</t>
        </is>
      </c>
    </row>
    <row r="225">
      <c r="H225" s="26" t="inlineStr">
        <is>
          <t>ALEMU MOSISA MAMO</t>
        </is>
      </c>
    </row>
    <row r="226">
      <c r="H226" s="26" t="inlineStr">
        <is>
          <t>ALEWIA MOHAMMED ALAMIN</t>
        </is>
      </c>
    </row>
    <row r="227">
      <c r="H227" s="26" t="inlineStr">
        <is>
          <t>ALFADLI HOTEL</t>
        </is>
      </c>
    </row>
    <row r="228">
      <c r="H228" s="26" t="inlineStr">
        <is>
          <t>ALFARAG TRADING PLC</t>
        </is>
      </c>
    </row>
    <row r="229">
      <c r="H229" s="26" t="inlineStr">
        <is>
          <t>ALI AHMED FANTU</t>
        </is>
      </c>
    </row>
    <row r="230">
      <c r="H230" s="26" t="inlineStr">
        <is>
          <t>ALIMPEX IMPORT EXPORT</t>
        </is>
      </c>
    </row>
    <row r="231">
      <c r="H231" s="26" t="inlineStr">
        <is>
          <t>ALIMPEX PLC</t>
        </is>
      </c>
    </row>
    <row r="232">
      <c r="H232" s="26" t="inlineStr">
        <is>
          <t>ALINAS BAKERY CAFE AND RESTURANT</t>
        </is>
      </c>
    </row>
    <row r="233">
      <c r="H233" s="26" t="inlineStr">
        <is>
          <t>ALISHO GENERAL TRADING AND TRANSIT SERVICE</t>
        </is>
      </c>
    </row>
    <row r="234">
      <c r="H234" s="26" t="inlineStr">
        <is>
          <t>ALKYD RESIN SHARE COMPANY</t>
        </is>
      </c>
    </row>
    <row r="235">
      <c r="H235" s="26" t="inlineStr">
        <is>
          <t>ALKYD RESIN SHARE COMPANY 2019</t>
        </is>
      </c>
    </row>
    <row r="236">
      <c r="H236" s="26" t="inlineStr">
        <is>
          <t>ALL HYBRID TRADING PLC</t>
        </is>
      </c>
    </row>
    <row r="237">
      <c r="H237" s="26" t="inlineStr">
        <is>
          <t>ALL MART</t>
        </is>
      </c>
    </row>
    <row r="238">
      <c r="H238" s="26" t="inlineStr">
        <is>
          <t>ALLEN RESTAURANT AND CATERING ONE MEMBER PLC</t>
        </is>
      </c>
    </row>
    <row r="239">
      <c r="H239" s="26" t="inlineStr">
        <is>
          <t>ALLIED CLEANING ONE MEMBER PLC</t>
        </is>
      </c>
    </row>
    <row r="240">
      <c r="H240" s="26" t="inlineStr">
        <is>
          <t>ALLIED REAL ESTATE PLC</t>
        </is>
      </c>
    </row>
    <row r="241">
      <c r="H241" s="26" t="inlineStr">
        <is>
          <t>ALMAZ ADDISU KASAY(KEBE PASTRY)</t>
        </is>
      </c>
    </row>
    <row r="242">
      <c r="H242" s="26" t="inlineStr">
        <is>
          <t>ALMAZ DEMEKE MULUGETA</t>
        </is>
      </c>
    </row>
    <row r="243">
      <c r="H243" s="26" t="inlineStr">
        <is>
          <t>ALPHA CARDIAC SPECIALTY CLINIC PLC</t>
        </is>
      </c>
    </row>
    <row r="244">
      <c r="H244" s="26" t="inlineStr">
        <is>
          <t>ALPHA EDUCTION AND TRAINING SC</t>
        </is>
      </c>
    </row>
    <row r="245">
      <c r="H245" s="26" t="inlineStr">
        <is>
          <t>ALTAD ETHIOPIA PLC</t>
        </is>
      </c>
    </row>
    <row r="246">
      <c r="H246" s="26" t="inlineStr">
        <is>
          <t>ALTAD ETHIOPIA PLC(KEGNA)</t>
        </is>
      </c>
    </row>
    <row r="247">
      <c r="H247" s="26" t="inlineStr">
        <is>
          <t>ALTAIR MANUFACTURING AND TRADING PLC</t>
        </is>
      </c>
    </row>
    <row r="248">
      <c r="H248" s="26" t="inlineStr">
        <is>
          <t>ALUMINUM WORLD TRADING PLC</t>
        </is>
      </c>
    </row>
    <row r="249">
      <c r="H249" s="26" t="inlineStr">
        <is>
          <t>ALVERIS TRADING PLC</t>
        </is>
      </c>
    </row>
    <row r="250">
      <c r="H250" s="26" t="inlineStr">
        <is>
          <t>AMACON TRADING PLC</t>
        </is>
      </c>
    </row>
    <row r="251">
      <c r="H251" s="26" t="inlineStr">
        <is>
          <t>AMAHA GTSADIK(SHERAR HOTEL)</t>
        </is>
      </c>
    </row>
    <row r="252">
      <c r="H252" s="26" t="inlineStr">
        <is>
          <t>AMAKELECH LULU TEFERA</t>
        </is>
      </c>
    </row>
    <row r="253">
      <c r="H253" s="26" t="inlineStr">
        <is>
          <t>AMAN HEALTH CARE TRADE AND MANUFACTURING PLC</t>
        </is>
      </c>
    </row>
    <row r="254">
      <c r="H254" s="26" t="inlineStr">
        <is>
          <t>AMANIEL AREGAWI WJWRGIS</t>
        </is>
      </c>
    </row>
    <row r="255">
      <c r="H255" s="26" t="inlineStr">
        <is>
          <t>AMANTI MERGA</t>
        </is>
      </c>
    </row>
    <row r="256">
      <c r="H256" s="26" t="inlineStr">
        <is>
          <t>AMANUAEL SEIFU HAILU</t>
        </is>
      </c>
    </row>
    <row r="257">
      <c r="H257" s="26" t="inlineStr">
        <is>
          <t>AMARCO BUSINESS GROUP ONE MEMBERS PLC</t>
        </is>
      </c>
    </row>
    <row r="258">
      <c r="H258" s="26" t="inlineStr">
        <is>
          <t>AMARE GETNET GOSHU</t>
        </is>
      </c>
    </row>
    <row r="259">
      <c r="H259" s="26" t="inlineStr">
        <is>
          <t>AMARE WORKU</t>
        </is>
      </c>
    </row>
    <row r="260">
      <c r="H260" s="26" t="inlineStr">
        <is>
          <t>AMBACHEW DEMISSE TILAHUN</t>
        </is>
      </c>
    </row>
    <row r="261">
      <c r="H261" s="26" t="inlineStr">
        <is>
          <t>AMBASSADOR GARMENT AND TRADE PLC</t>
        </is>
      </c>
    </row>
    <row r="262">
      <c r="H262" s="26" t="inlineStr">
        <is>
          <t>AMBAYE GENERAL TRADING PLC</t>
        </is>
      </c>
    </row>
    <row r="263">
      <c r="H263" s="26" t="inlineStr">
        <is>
          <t>AMBESSA ENTERPRISE PLC</t>
        </is>
      </c>
    </row>
    <row r="264">
      <c r="H264" s="26" t="inlineStr">
        <is>
          <t>AMCE PLC</t>
        </is>
      </c>
    </row>
    <row r="265">
      <c r="H265" s="26" t="inlineStr">
        <is>
          <t>AMDEHUN GENERAL TRADING PLC</t>
        </is>
      </c>
    </row>
    <row r="266">
      <c r="H266" s="26" t="inlineStr">
        <is>
          <t>AMEN COMPUTER STATIONERY CLEANING MATERIAL</t>
        </is>
      </c>
    </row>
    <row r="267">
      <c r="H267" s="26" t="inlineStr">
        <is>
          <t>AMENABLE TRADING PLC</t>
        </is>
      </c>
    </row>
    <row r="268">
      <c r="H268" s="26" t="inlineStr">
        <is>
          <t>AMERICAN MEDICAL CENTER PLC</t>
        </is>
      </c>
    </row>
    <row r="269">
      <c r="H269" s="26" t="inlineStr">
        <is>
          <t>AMERTI TONI</t>
        </is>
      </c>
    </row>
    <row r="270">
      <c r="H270" s="26" t="inlineStr">
        <is>
          <t>AMETELLEHAK REDWANE HUSSEN</t>
        </is>
      </c>
    </row>
    <row r="271">
      <c r="H271" s="26" t="inlineStr">
        <is>
          <t>AMEX TRADING PLC</t>
        </is>
      </c>
    </row>
    <row r="272">
      <c r="H272" s="26" t="inlineStr">
        <is>
          <t>AMICO CAFE</t>
        </is>
      </c>
    </row>
    <row r="273">
      <c r="H273" s="26" t="inlineStr">
        <is>
          <t>AMIGONIAN SCHOOL PLC</t>
        </is>
      </c>
    </row>
    <row r="274">
      <c r="H274" s="26" t="inlineStr">
        <is>
          <t>AMIRA ABDUSELAM 2018</t>
        </is>
      </c>
    </row>
    <row r="275">
      <c r="H275" s="26" t="inlineStr">
        <is>
          <t>AMIRA MOHAMMED KELIFA OSMAN</t>
        </is>
      </c>
    </row>
    <row r="276">
      <c r="H276" s="26" t="inlineStr">
        <is>
          <t>amrogn</t>
        </is>
      </c>
    </row>
    <row r="277">
      <c r="H277" s="26" t="inlineStr">
        <is>
          <t>AMROGN CHICKEN</t>
        </is>
      </c>
    </row>
    <row r="278">
      <c r="H278" s="26" t="inlineStr">
        <is>
          <t>AMROGN CHICKEN 2017</t>
        </is>
      </c>
    </row>
    <row r="279">
      <c r="H279" s="26" t="inlineStr">
        <is>
          <t>ANANIKA HEALTH SOLUTION PLC</t>
        </is>
      </c>
    </row>
    <row r="280">
      <c r="H280" s="26" t="inlineStr">
        <is>
          <t>ANBU GEO TECH SERVICING PLC</t>
        </is>
      </c>
    </row>
    <row r="281">
      <c r="H281" s="26" t="inlineStr">
        <is>
          <t>ANDROMEDA HOTEL</t>
        </is>
      </c>
    </row>
    <row r="282">
      <c r="H282" s="26" t="inlineStr">
        <is>
          <t>ANDUALEM CAFE AND RESTAURANT</t>
        </is>
      </c>
    </row>
    <row r="283">
      <c r="H283" s="26" t="inlineStr">
        <is>
          <t>ANDUALEM TESFAYE HAILE</t>
        </is>
      </c>
    </row>
    <row r="284">
      <c r="H284" s="26" t="inlineStr">
        <is>
          <t>ANDUALEM YESHIWAS ALEMU</t>
        </is>
      </c>
    </row>
    <row r="285">
      <c r="H285" s="26" t="inlineStr">
        <is>
          <t>ANG TRADING</t>
        </is>
      </c>
    </row>
    <row r="286">
      <c r="H286" s="26" t="inlineStr">
        <is>
          <t>ANGLA BUSINESS</t>
        </is>
      </c>
    </row>
    <row r="287">
      <c r="H287" s="26" t="inlineStr">
        <is>
          <t>ANIS AMIN SEMAN</t>
        </is>
      </c>
    </row>
    <row r="288">
      <c r="H288" s="26" t="inlineStr">
        <is>
          <t>ANISA HUSSEIN MOHAMMED</t>
        </is>
      </c>
    </row>
    <row r="289">
      <c r="H289" s="26" t="inlineStr">
        <is>
          <t>ANNEX LANCET HEALTH SERVICES PLC</t>
        </is>
      </c>
    </row>
    <row r="290">
      <c r="H290" s="26" t="inlineStr">
        <is>
          <t>ANTENEH GETACHER GEBREHIWOT</t>
        </is>
      </c>
    </row>
    <row r="291">
      <c r="H291" s="26" t="inlineStr">
        <is>
          <t>ANTENEH TESFAYE ASEFA</t>
        </is>
      </c>
    </row>
    <row r="292">
      <c r="H292" s="26" t="inlineStr">
        <is>
          <t>ANTICA PLC</t>
        </is>
      </c>
    </row>
    <row r="293">
      <c r="H293" s="26" t="inlineStr">
        <is>
          <t>APHRODITE INT. HOTEL</t>
        </is>
      </c>
    </row>
    <row r="294">
      <c r="H294" s="26" t="inlineStr">
        <is>
          <t>APPLE PRINTING PRESS PLC</t>
        </is>
      </c>
    </row>
    <row r="295">
      <c r="H295" s="26" t="inlineStr">
        <is>
          <t>AQUA EMA TRADING PLC</t>
        </is>
      </c>
    </row>
    <row r="296">
      <c r="H296" s="26" t="inlineStr">
        <is>
          <t>ARADA MART</t>
        </is>
      </c>
    </row>
    <row r="297">
      <c r="H297" s="26" t="inlineStr">
        <is>
          <t>ARAFAT AHMED IBRAHIM</t>
        </is>
      </c>
    </row>
    <row r="298">
      <c r="H298" s="26" t="inlineStr">
        <is>
          <t>ARAM SARAFIAN KACHIK</t>
        </is>
      </c>
    </row>
    <row r="299">
      <c r="H299" s="26" t="inlineStr">
        <is>
          <t>ARAN INTERNATIONAL HOTEL</t>
        </is>
      </c>
    </row>
    <row r="300">
      <c r="H300" s="26" t="inlineStr">
        <is>
          <t>ARARAT HOTEL PLC</t>
        </is>
      </c>
    </row>
    <row r="301">
      <c r="H301" s="26" t="inlineStr">
        <is>
          <t>ARARAT TRADING ONE MEMBER PLC</t>
        </is>
      </c>
    </row>
    <row r="302">
      <c r="H302" s="26" t="inlineStr">
        <is>
          <t>ARAYA MELES GEBREGIORGIS</t>
        </is>
      </c>
    </row>
    <row r="303">
      <c r="H303" s="26" t="inlineStr">
        <is>
          <t>ARCHI HOTEL</t>
        </is>
      </c>
    </row>
    <row r="304">
      <c r="H304" s="26" t="inlineStr">
        <is>
          <t>ARDI ETHIOPIA HOTEL PLC</t>
        </is>
      </c>
    </row>
    <row r="305">
      <c r="H305" s="26" t="inlineStr">
        <is>
          <t>AREGA WOLDESILASSIE SADAMO/SAINT THERESA SCHOOL</t>
        </is>
      </c>
    </row>
    <row r="306">
      <c r="H306" s="26" t="inlineStr">
        <is>
          <t>AREGAW KEFYALEW</t>
        </is>
      </c>
    </row>
    <row r="307">
      <c r="H307" s="26" t="inlineStr">
        <is>
          <t>ARERTI CERAMIC MANUFACTURING PLC</t>
        </is>
      </c>
    </row>
    <row r="308">
      <c r="H308" s="26" t="inlineStr">
        <is>
          <t>AROMATIC TRADE CONNECTION PLC</t>
        </is>
      </c>
    </row>
    <row r="309">
      <c r="H309" s="26" t="inlineStr">
        <is>
          <t>ARON HAILE GEBRESELASSIE</t>
        </is>
      </c>
    </row>
    <row r="310">
      <c r="H310" s="26" t="inlineStr">
        <is>
          <t>ARSHO MEDICAL LABORATORIES PLC</t>
        </is>
      </c>
    </row>
    <row r="311">
      <c r="H311" s="26" t="inlineStr">
        <is>
          <t>ARTS AGRO INPUT IMPORTS DISTRIBUTR PLC</t>
        </is>
      </c>
    </row>
    <row r="312">
      <c r="H312" s="26" t="inlineStr">
        <is>
          <t>ASAMINEW URGESA DONBOBA</t>
        </is>
      </c>
    </row>
    <row r="313">
      <c r="H313" s="26" t="inlineStr">
        <is>
          <t>ASAMINEW URGESA JINKA</t>
        </is>
      </c>
    </row>
    <row r="314">
      <c r="H314" s="26" t="inlineStr">
        <is>
          <t>ASAYEHU ALEMAYEHU WMICHAEL</t>
        </is>
      </c>
    </row>
    <row r="315">
      <c r="H315" s="26" t="inlineStr">
        <is>
          <t>ASEBE KEBEDE BONGA</t>
        </is>
      </c>
    </row>
    <row r="316">
      <c r="H316" s="26" t="inlineStr">
        <is>
          <t>ASEFA ARGAWA WELEBO</t>
        </is>
      </c>
    </row>
    <row r="317">
      <c r="H317" s="26" t="inlineStr">
        <is>
          <t>ASEGEDECH ASSEFA</t>
        </is>
      </c>
    </row>
    <row r="318">
      <c r="H318" s="26" t="inlineStr">
        <is>
          <t>ASEGID HABTE SHAFI</t>
        </is>
      </c>
    </row>
    <row r="319">
      <c r="H319" s="26" t="inlineStr">
        <is>
          <t>ASEWI TRADING PLC</t>
        </is>
      </c>
    </row>
    <row r="320">
      <c r="H320" s="26" t="inlineStr">
        <is>
          <t>ASFA PLC</t>
        </is>
      </c>
    </row>
    <row r="321">
      <c r="H321" s="26" t="inlineStr">
        <is>
          <t>ASFAW WASSIE BIZUNEH</t>
        </is>
      </c>
    </row>
    <row r="322">
      <c r="H322" s="26" t="inlineStr">
        <is>
          <t>ASHALIE SALT PRODUCTION PROCESSING PLC</t>
        </is>
      </c>
    </row>
    <row r="323">
      <c r="H323" s="26" t="inlineStr">
        <is>
          <t>ASHAM AFRICA HOTEL AND RESORT</t>
        </is>
      </c>
    </row>
    <row r="324">
      <c r="H324" s="26" t="inlineStr">
        <is>
          <t>ASHBEZ GENERAL TRADING ONE MEMBER PLC</t>
        </is>
      </c>
    </row>
    <row r="325">
      <c r="H325" s="26" t="inlineStr">
        <is>
          <t>ASHEBIR GOSSAYE</t>
        </is>
      </c>
    </row>
    <row r="326">
      <c r="H326" s="26" t="inlineStr">
        <is>
          <t>ASHENAFI ABATE SISAY</t>
        </is>
      </c>
    </row>
    <row r="327">
      <c r="H327" s="26" t="inlineStr">
        <is>
          <t>ASHENAFI BELAYNEH AYENEW</t>
        </is>
      </c>
    </row>
    <row r="328">
      <c r="H328" s="26" t="inlineStr">
        <is>
          <t>ASHENAFI MULUGETA WELDEMARİYAM</t>
        </is>
      </c>
    </row>
    <row r="329">
      <c r="H329" s="26" t="inlineStr">
        <is>
          <t>ASHETEN HEALTH SERVICE TRADING PLC</t>
        </is>
      </c>
    </row>
    <row r="330">
      <c r="H330" s="26" t="inlineStr">
        <is>
          <t>ASIER GENERAL TRADING</t>
        </is>
      </c>
    </row>
    <row r="331">
      <c r="H331" s="26" t="inlineStr">
        <is>
          <t>ASINAKECH ASFAW KOSE</t>
        </is>
      </c>
    </row>
    <row r="332">
      <c r="H332" s="26" t="inlineStr">
        <is>
          <t>ASMEN PLC</t>
        </is>
      </c>
    </row>
    <row r="333">
      <c r="H333" s="26" t="inlineStr">
        <is>
          <t>ASNAL MARKET CENTER P L C</t>
        </is>
      </c>
    </row>
    <row r="334">
      <c r="H334" s="26" t="inlineStr">
        <is>
          <t>ASRAT EPHRAIM IRANA</t>
        </is>
      </c>
    </row>
    <row r="335">
      <c r="H335" s="26" t="inlineStr">
        <is>
          <t>ASSEFA KEFELEGN ABEBAYEHU</t>
        </is>
      </c>
    </row>
    <row r="336">
      <c r="H336" s="26" t="inlineStr">
        <is>
          <t>ASSEFA TEKA</t>
        </is>
      </c>
    </row>
    <row r="337">
      <c r="H337" s="26" t="inlineStr">
        <is>
          <t>ASSEGA CONSTRUCTION PLC</t>
        </is>
      </c>
    </row>
    <row r="338">
      <c r="H338" s="26" t="inlineStr">
        <is>
          <t>ASSEWODAF IMPORTER</t>
        </is>
      </c>
    </row>
    <row r="339">
      <c r="H339" s="26" t="inlineStr">
        <is>
          <t>ASTARA BUSINESS PLC(ASTARA HOTEL)</t>
        </is>
      </c>
    </row>
    <row r="340">
      <c r="H340" s="26" t="inlineStr">
        <is>
          <t>ASTEFESEH IMPORT AND EXPORT</t>
        </is>
      </c>
    </row>
    <row r="341">
      <c r="H341" s="26" t="inlineStr">
        <is>
          <t>ASTER MENGESHA TEKLU</t>
        </is>
      </c>
    </row>
    <row r="342">
      <c r="H342" s="26" t="inlineStr">
        <is>
          <t>ASTER YOHANES ABEREHAHAM(YOHANES KITFO HOUSE)</t>
        </is>
      </c>
    </row>
    <row r="343">
      <c r="H343" s="26" t="inlineStr">
        <is>
          <t>AT FANOUS TRADING PLC</t>
        </is>
      </c>
    </row>
    <row r="344">
      <c r="H344" s="26" t="inlineStr">
        <is>
          <t>AT HOME BAKERY PLC</t>
        </is>
      </c>
    </row>
    <row r="345">
      <c r="H345" s="26" t="inlineStr">
        <is>
          <t>ATCON CONSTRUCTION PLC</t>
        </is>
      </c>
    </row>
    <row r="346">
      <c r="H346" s="26" t="inlineStr">
        <is>
          <t>ATE TRADING PLC</t>
        </is>
      </c>
    </row>
    <row r="347">
      <c r="H347" s="26" t="inlineStr">
        <is>
          <t>ATEF REAL ESTATE PLC</t>
        </is>
      </c>
    </row>
    <row r="348">
      <c r="H348" s="26" t="inlineStr">
        <is>
          <t>ATLAS INTERNATIONAL HOTEL</t>
        </is>
      </c>
    </row>
    <row r="349">
      <c r="H349" s="26" t="inlineStr">
        <is>
          <t>ATLAS RESORT</t>
        </is>
      </c>
    </row>
    <row r="350">
      <c r="H350" s="26" t="inlineStr">
        <is>
          <t>ATMOSPHERE HOTEL AND TOURISM PLC</t>
        </is>
      </c>
    </row>
    <row r="351">
      <c r="H351" s="26" t="inlineStr">
        <is>
          <t>ATO FELEKE MAREGN(TOP TEN HOTEL)</t>
        </is>
      </c>
    </row>
    <row r="352">
      <c r="H352" s="26" t="inlineStr">
        <is>
          <t>ATOMIC EDUCATIONAL MATERIALS SUPPLY PLC</t>
        </is>
      </c>
    </row>
    <row r="353">
      <c r="H353" s="26" t="inlineStr">
        <is>
          <t>ATSBA TRADE AND MANUFACTURING P.L.C</t>
        </is>
      </c>
    </row>
    <row r="354">
      <c r="H354" s="26" t="inlineStr">
        <is>
          <t>ATZ FRIENDS BUSINESS PLC</t>
        </is>
      </c>
    </row>
    <row r="355">
      <c r="H355" s="26" t="inlineStr">
        <is>
          <t>AUMEAGAS TRADING PLC</t>
        </is>
      </c>
    </row>
    <row r="356">
      <c r="H356" s="26" t="inlineStr">
        <is>
          <t>AUTO CARE PLC</t>
        </is>
      </c>
    </row>
    <row r="357">
      <c r="H357" s="26" t="inlineStr">
        <is>
          <t>AUTOZONE MECHANICAL ENGINEERING PLC</t>
        </is>
      </c>
    </row>
    <row r="358">
      <c r="H358" s="26" t="inlineStr">
        <is>
          <t>AUTOZONE TRADNIG PLC</t>
        </is>
      </c>
    </row>
    <row r="359">
      <c r="H359" s="26" t="inlineStr">
        <is>
          <t>AVANTI ITALIA RESTAURANT</t>
        </is>
      </c>
    </row>
    <row r="360">
      <c r="H360" s="26" t="inlineStr">
        <is>
          <t>AVON INDUSTRIES PLC</t>
        </is>
      </c>
    </row>
    <row r="361">
      <c r="H361" s="26" t="inlineStr">
        <is>
          <t>AWASH FALLS LODGE PLC</t>
        </is>
      </c>
    </row>
    <row r="362">
      <c r="H362" s="26" t="inlineStr">
        <is>
          <t>AWASH HEALTHCARE SERVICE PLC</t>
        </is>
      </c>
    </row>
    <row r="363">
      <c r="H363" s="26" t="inlineStr">
        <is>
          <t>AWELACHEW TEKLEAREGAY</t>
        </is>
      </c>
    </row>
    <row r="364">
      <c r="H364" s="26" t="inlineStr">
        <is>
          <t>AWETU GRAND HOTEL</t>
        </is>
      </c>
    </row>
    <row r="365">
      <c r="H365" s="26" t="inlineStr">
        <is>
          <t>AWLO BUSINESS CENTER</t>
        </is>
      </c>
    </row>
    <row r="366">
      <c r="H366" s="26" t="inlineStr">
        <is>
          <t>AWRARIS HOTEL PLC</t>
        </is>
      </c>
    </row>
    <row r="367">
      <c r="H367" s="26" t="inlineStr">
        <is>
          <t>AXLA MANUFACTURING PLC</t>
        </is>
      </c>
    </row>
    <row r="368">
      <c r="H368" s="26" t="inlineStr">
        <is>
          <t>AXON NEUROLOGY SPECIALITY CENTER PLC</t>
        </is>
      </c>
    </row>
    <row r="369">
      <c r="H369" s="26" t="inlineStr">
        <is>
          <t>AXUM HOTEL</t>
        </is>
      </c>
    </row>
    <row r="370">
      <c r="H370" s="26" t="inlineStr">
        <is>
          <t>AYA SUPERMARKET</t>
        </is>
      </c>
    </row>
    <row r="371">
      <c r="H371" s="26" t="inlineStr">
        <is>
          <t>AYALEWU TEZAZU KASA</t>
        </is>
      </c>
    </row>
    <row r="372">
      <c r="H372" s="26" t="inlineStr">
        <is>
          <t>AYAT EYASU BOKO</t>
        </is>
      </c>
    </row>
    <row r="373">
      <c r="H373" s="26" t="inlineStr">
        <is>
          <t>AYAT RAS HOTEL</t>
        </is>
      </c>
    </row>
    <row r="374">
      <c r="H374" s="26" t="inlineStr">
        <is>
          <t>AYAT SC</t>
        </is>
      </c>
    </row>
    <row r="375">
      <c r="H375" s="26" t="inlineStr">
        <is>
          <t>AYELE ALI  NEGUSE(ELIM GUEST HOUSES)</t>
        </is>
      </c>
    </row>
    <row r="376">
      <c r="H376" s="26" t="inlineStr">
        <is>
          <t>AYELE DEGU BOREDE</t>
        </is>
      </c>
    </row>
    <row r="377">
      <c r="H377" s="26" t="inlineStr">
        <is>
          <t>AYENEW WUBETE HOTEL</t>
        </is>
      </c>
    </row>
    <row r="378">
      <c r="H378" s="26" t="inlineStr">
        <is>
          <t>AYMA INTERNATIONAL HOTEL</t>
        </is>
      </c>
    </row>
    <row r="379">
      <c r="H379" s="26" t="inlineStr">
        <is>
          <t>AYNALEM KUMILACHEW MENGSTE</t>
        </is>
      </c>
    </row>
    <row r="380">
      <c r="H380" s="26" t="inlineStr">
        <is>
          <t>AYNALEM MEHARI TEKIE</t>
        </is>
      </c>
    </row>
    <row r="381">
      <c r="H381" s="26" t="inlineStr">
        <is>
          <t>AYNALEM ONE MEMBER PLC</t>
        </is>
      </c>
    </row>
    <row r="382">
      <c r="H382" s="26" t="inlineStr">
        <is>
          <t>AYO TRADING ONE MEMBER PLC</t>
        </is>
      </c>
    </row>
    <row r="383">
      <c r="H383" s="26" t="inlineStr">
        <is>
          <t>AYOBAN REAL ESTATE PLC</t>
        </is>
      </c>
    </row>
    <row r="384">
      <c r="H384" s="26" t="inlineStr">
        <is>
          <t>AYTEYEF HOTEL</t>
        </is>
      </c>
    </row>
    <row r="385">
      <c r="H385" s="26" t="inlineStr">
        <is>
          <t>AYU FIKIR EXPRT PLC</t>
        </is>
      </c>
    </row>
    <row r="386">
      <c r="H386" s="26" t="inlineStr">
        <is>
          <t>AZIFA FOODS AND BEVERAGES</t>
        </is>
      </c>
    </row>
    <row r="387">
      <c r="H387" s="26" t="inlineStr">
        <is>
          <t>B A M Z TRADING PLC</t>
        </is>
      </c>
    </row>
    <row r="388">
      <c r="H388" s="26" t="inlineStr">
        <is>
          <t>B AND H TRADING ONE MEMBER PLC</t>
        </is>
      </c>
    </row>
    <row r="389">
      <c r="H389" s="26" t="inlineStr">
        <is>
          <t>B B F TRADING PLC</t>
        </is>
      </c>
    </row>
    <row r="390">
      <c r="H390" s="26" t="inlineStr">
        <is>
          <t>B HOSPITALITY AND GETIBENERAL TRADING ONE MEMBER PLC</t>
        </is>
      </c>
    </row>
    <row r="391">
      <c r="H391" s="26" t="inlineStr">
        <is>
          <t>B RAEY TRADING PLC</t>
        </is>
      </c>
    </row>
    <row r="392">
      <c r="H392" s="26" t="inlineStr">
        <is>
          <t>B T A BUSINESS PLC(ZMAMA HOTEL)</t>
        </is>
      </c>
    </row>
    <row r="393">
      <c r="H393" s="26" t="inlineStr">
        <is>
          <t>B Y CONSTRUCTION MATERIALS SUPPLIER</t>
        </is>
      </c>
    </row>
    <row r="394">
      <c r="H394" s="26" t="inlineStr">
        <is>
          <t>B Y T M TRADING PLC</t>
        </is>
      </c>
    </row>
    <row r="395">
      <c r="H395" s="26" t="inlineStr">
        <is>
          <t>BABA ROTI CAFE PLC</t>
        </is>
      </c>
    </row>
    <row r="396">
      <c r="H396" s="26" t="inlineStr">
        <is>
          <t>BABESHA GEBRU</t>
        </is>
      </c>
    </row>
    <row r="397">
      <c r="H397" s="26" t="inlineStr">
        <is>
          <t>BACK AUTOMOTIVE PARTS TRADING</t>
        </is>
      </c>
    </row>
    <row r="398">
      <c r="H398" s="26" t="inlineStr">
        <is>
          <t>BACKSHOT INTERNATIONAL BUSINESS PLC</t>
        </is>
      </c>
    </row>
    <row r="399">
      <c r="H399" s="26" t="inlineStr">
        <is>
          <t>BAHIRAY HAILEMICHAEL ARAYA</t>
        </is>
      </c>
    </row>
    <row r="400">
      <c r="H400" s="26" t="inlineStr">
        <is>
          <t>BAHIRU NURE ADEM</t>
        </is>
      </c>
    </row>
    <row r="401">
      <c r="H401" s="26" t="inlineStr">
        <is>
          <t>BAKEAWAY CAFE AND RESTAURANT P L C</t>
        </is>
      </c>
    </row>
    <row r="402">
      <c r="H402" s="26" t="inlineStr">
        <is>
          <t>BAKERS DELIGHT PLC</t>
        </is>
      </c>
    </row>
    <row r="403">
      <c r="H403" s="26" t="inlineStr">
        <is>
          <t>BAMAMIX CONSTRACTION MATERIAL MANUFACTURING PLC</t>
        </is>
      </c>
    </row>
    <row r="404">
      <c r="H404" s="26" t="inlineStr">
        <is>
          <t>BAMBOO PARADISE HOTEL</t>
        </is>
      </c>
    </row>
    <row r="405">
      <c r="H405" s="26" t="inlineStr">
        <is>
          <t>BANAMIL TRADING PLC</t>
        </is>
      </c>
    </row>
    <row r="406">
      <c r="H406" s="26" t="inlineStr">
        <is>
          <t>BARATHON PHARMACY</t>
        </is>
      </c>
    </row>
    <row r="407">
      <c r="H407" s="26" t="inlineStr">
        <is>
          <t>BARISTAS COFFEE</t>
        </is>
      </c>
    </row>
    <row r="408">
      <c r="H408" s="26" t="inlineStr">
        <is>
          <t>BARKOT M TRADING PLC</t>
        </is>
      </c>
    </row>
    <row r="409">
      <c r="H409" s="26" t="inlineStr">
        <is>
          <t>BAROK TOUR AND CAR RENT PLC</t>
        </is>
      </c>
    </row>
    <row r="410">
      <c r="H410" s="26" t="inlineStr">
        <is>
          <t>BARON BUSINESS PLC</t>
        </is>
      </c>
    </row>
    <row r="411">
      <c r="H411" s="26" t="inlineStr">
        <is>
          <t>BASE ETHIOPIA INTERNATIONAL HOTEL</t>
        </is>
      </c>
    </row>
    <row r="412">
      <c r="H412" s="26" t="inlineStr">
        <is>
          <t>BASIL CAFE AND RESTAURANT</t>
        </is>
      </c>
    </row>
    <row r="413">
      <c r="H413" s="26" t="inlineStr">
        <is>
          <t>BAYISA AMENTE ABDI</t>
        </is>
      </c>
    </row>
    <row r="414">
      <c r="H414" s="26" t="inlineStr">
        <is>
          <t>BAYISA TOLOSA EJERSA</t>
        </is>
      </c>
    </row>
    <row r="415">
      <c r="H415" s="26" t="inlineStr">
        <is>
          <t>BDF GENERAL TREADING PLC</t>
        </is>
      </c>
    </row>
    <row r="416">
      <c r="H416" s="26" t="inlineStr">
        <is>
          <t>BEALPERASIM INDUSTRIES AND TRADING PLC</t>
        </is>
      </c>
    </row>
    <row r="417">
      <c r="H417" s="26" t="inlineStr">
        <is>
          <t>BEAN ADDIS GENERAL TRADING PLC</t>
        </is>
      </c>
    </row>
    <row r="418">
      <c r="H418" s="26" t="inlineStr">
        <is>
          <t>BEAWASH MANUFACTURING PLC</t>
        </is>
      </c>
    </row>
    <row r="419">
      <c r="H419" s="26" t="inlineStr">
        <is>
          <t>BEDASSA WOLDE</t>
        </is>
      </c>
    </row>
    <row r="420">
      <c r="H420" s="26" t="inlineStr">
        <is>
          <t>BEFEKADU BALCHA MULISSA</t>
        </is>
      </c>
    </row>
    <row r="421">
      <c r="H421" s="26" t="inlineStr">
        <is>
          <t>BEFEKADU HAILU HABTEMARIAM</t>
        </is>
      </c>
    </row>
    <row r="422">
      <c r="H422" s="26" t="inlineStr">
        <is>
          <t>BEFKER LYU KURTENA KETFO PLC</t>
        </is>
      </c>
    </row>
    <row r="423">
      <c r="H423" s="26" t="inlineStr">
        <is>
          <t>BEGA TOUR OPERATION</t>
        </is>
      </c>
    </row>
    <row r="424">
      <c r="H424" s="26" t="inlineStr">
        <is>
          <t>BEGASHAW GURMU DENBOBA</t>
        </is>
      </c>
    </row>
    <row r="425">
      <c r="H425" s="26" t="inlineStr">
        <is>
          <t>BEGASHAW TESASU</t>
        </is>
      </c>
    </row>
    <row r="426">
      <c r="H426" s="26" t="inlineStr">
        <is>
          <t>BEGENA TRADING</t>
        </is>
      </c>
    </row>
    <row r="427">
      <c r="H427" s="26" t="inlineStr">
        <is>
          <t>BEGEZ BUSINESS GROUP PLC</t>
        </is>
      </c>
    </row>
    <row r="428">
      <c r="H428" s="26" t="inlineStr">
        <is>
          <t>BEGITA BUSSISNES</t>
        </is>
      </c>
    </row>
    <row r="429">
      <c r="H429" s="26" t="inlineStr">
        <is>
          <t>BEHAILU TESFAYE GEMEDA</t>
        </is>
      </c>
    </row>
    <row r="430">
      <c r="H430" s="26" t="inlineStr">
        <is>
          <t>BEKA COFFEE PROCESSING PLC</t>
        </is>
      </c>
    </row>
    <row r="431">
      <c r="H431" s="26" t="inlineStr">
        <is>
          <t>BEKELE ABSHIRO FORGETO</t>
        </is>
      </c>
    </row>
    <row r="432">
      <c r="H432" s="26" t="inlineStr">
        <is>
          <t>BEKELE ABSHIRO PLC</t>
        </is>
      </c>
    </row>
    <row r="433">
      <c r="H433" s="26" t="inlineStr">
        <is>
          <t>BEKELE MOLLA HOTELS PLC</t>
        </is>
      </c>
    </row>
    <row r="434">
      <c r="H434" s="26" t="inlineStr">
        <is>
          <t>BEKELE NEGASH ODA</t>
        </is>
      </c>
    </row>
    <row r="435">
      <c r="H435" s="26" t="inlineStr">
        <is>
          <t>BEKELE WELDEMARIAM</t>
        </is>
      </c>
    </row>
    <row r="436">
      <c r="H436" s="26" t="inlineStr">
        <is>
          <t>BEKEMA TRADING PLC</t>
        </is>
      </c>
    </row>
    <row r="437">
      <c r="H437" s="26" t="inlineStr">
        <is>
          <t>BEKER GENERAL BUSINESS PLC</t>
        </is>
      </c>
    </row>
    <row r="438">
      <c r="H438" s="26" t="inlineStr">
        <is>
          <t>BEKIMAFI RESTAURANT PLC</t>
        </is>
      </c>
    </row>
    <row r="439">
      <c r="H439" s="26" t="inlineStr">
        <is>
          <t>BEKROBE BUSINESS GRUP PLC</t>
        </is>
      </c>
    </row>
    <row r="440">
      <c r="H440" s="26" t="inlineStr">
        <is>
          <t>BELAY ABREHAM</t>
        </is>
      </c>
    </row>
    <row r="441">
      <c r="H441" s="26" t="inlineStr">
        <is>
          <t>BELAY ABREHAM JINKA</t>
        </is>
      </c>
    </row>
    <row r="442">
      <c r="H442" s="26" t="inlineStr">
        <is>
          <t>BELAY HAILEMARIAM ABRHA</t>
        </is>
      </c>
    </row>
    <row r="443">
      <c r="H443" s="26" t="inlineStr">
        <is>
          <t>BELAY MUSSIE ANBESIE</t>
        </is>
      </c>
    </row>
    <row r="444">
      <c r="H444" s="26" t="inlineStr">
        <is>
          <t>BELAY WOLDEGIORGIS ADEWO</t>
        </is>
      </c>
    </row>
    <row r="445">
      <c r="H445" s="26" t="inlineStr">
        <is>
          <t>BELAYAB FOOD PRODUCTION PLC</t>
        </is>
      </c>
    </row>
    <row r="446">
      <c r="H446" s="26" t="inlineStr">
        <is>
          <t>BELAYNEH HAILU CHEKOL</t>
        </is>
      </c>
    </row>
    <row r="447">
      <c r="H447" s="26" t="inlineStr">
        <is>
          <t>BELAYNEH KINDE MEKONNEN</t>
        </is>
      </c>
    </row>
    <row r="448">
      <c r="H448" s="26" t="inlineStr">
        <is>
          <t>BELAYNESH TARESA AGA</t>
        </is>
      </c>
    </row>
    <row r="449">
      <c r="H449" s="26" t="inlineStr">
        <is>
          <t>BELEMA RESORT &amp; SPA</t>
        </is>
      </c>
    </row>
    <row r="450">
      <c r="H450" s="26" t="inlineStr">
        <is>
          <t>BELEN COFFEE A ONE MEMBER PLC</t>
        </is>
      </c>
    </row>
    <row r="451">
      <c r="H451" s="26" t="inlineStr">
        <is>
          <t>BELETE MERKEBE WTENSAYE</t>
        </is>
      </c>
    </row>
    <row r="452">
      <c r="H452" s="26" t="inlineStr">
        <is>
          <t>BELETE TESFAYE</t>
        </is>
      </c>
    </row>
    <row r="453">
      <c r="H453" s="26" t="inlineStr">
        <is>
          <t>BELETE TESFAYE ASEFA</t>
        </is>
      </c>
    </row>
    <row r="454">
      <c r="H454" s="26" t="inlineStr">
        <is>
          <t>BELETE YILMA</t>
        </is>
      </c>
    </row>
    <row r="455">
      <c r="H455" s="26" t="inlineStr">
        <is>
          <t>BELETE ZEWEDU BOGALE</t>
        </is>
      </c>
    </row>
    <row r="456">
      <c r="H456" s="26" t="inlineStr">
        <is>
          <t>BELLEZEDA TRADING</t>
        </is>
      </c>
    </row>
    <row r="457">
      <c r="H457" s="26" t="inlineStr">
        <is>
          <t>BELLORA BAKERY TRADING PLC</t>
        </is>
      </c>
    </row>
    <row r="458">
      <c r="H458" s="26" t="inlineStr">
        <is>
          <t>BELT GENERAL BUSINESS PLC</t>
        </is>
      </c>
    </row>
    <row r="459">
      <c r="H459" s="26" t="inlineStr">
        <is>
          <t>BEMELOT TRADING PLC</t>
        </is>
      </c>
    </row>
    <row r="460">
      <c r="H460" s="26" t="inlineStr">
        <is>
          <t>BENCH MAJI FOREST COFFEE PR (FA) COOPERATIVE UNION LTD</t>
        </is>
      </c>
    </row>
    <row r="461">
      <c r="H461" s="26" t="inlineStr">
        <is>
          <t>BENYARO TRADING PLC</t>
        </is>
      </c>
    </row>
    <row r="462">
      <c r="H462" s="26" t="inlineStr">
        <is>
          <t>BENYAS INJERA AND BREAD MAKING PLC</t>
        </is>
      </c>
    </row>
    <row r="463">
      <c r="H463" s="26" t="inlineStr">
        <is>
          <t>BENZOL</t>
        </is>
      </c>
    </row>
    <row r="464">
      <c r="H464" s="26" t="inlineStr">
        <is>
          <t>BEREKET MEREHABA EGATE</t>
        </is>
      </c>
    </row>
    <row r="465">
      <c r="H465" s="26" t="inlineStr">
        <is>
          <t>BEREKET TESFAYE GEBRESILASSIE</t>
        </is>
      </c>
    </row>
    <row r="466">
      <c r="H466" s="26" t="inlineStr">
        <is>
          <t>BERHANU NASER BERHE</t>
        </is>
      </c>
    </row>
    <row r="467">
      <c r="H467" s="26" t="inlineStr">
        <is>
          <t>BERHANU SOLOMON YALEMZWED</t>
        </is>
      </c>
    </row>
    <row r="468">
      <c r="H468" s="26" t="inlineStr">
        <is>
          <t>BERHANU TADESSE TABOR</t>
        </is>
      </c>
    </row>
    <row r="469">
      <c r="H469" s="26" t="inlineStr">
        <is>
          <t>BERHE HAGOS GEBRE</t>
        </is>
      </c>
    </row>
    <row r="470">
      <c r="H470" s="26" t="inlineStr">
        <is>
          <t>BERHE KAHSSAY REDA(DENVER HOTEL)</t>
        </is>
      </c>
    </row>
    <row r="471">
      <c r="H471" s="26" t="inlineStr">
        <is>
          <t>BERRY ADVERTISING GRAPHICS AND COMMUNICATION PLC</t>
        </is>
      </c>
    </row>
    <row r="472">
      <c r="H472" s="26" t="inlineStr">
        <is>
          <t>BERTA SUPERMARKET</t>
        </is>
      </c>
    </row>
    <row r="473">
      <c r="H473" s="26" t="inlineStr">
        <is>
          <t>BESEMU TRADING PLC</t>
        </is>
      </c>
    </row>
    <row r="474">
      <c r="H474" s="26" t="inlineStr">
        <is>
          <t>BESRATEGEBRYEL SAHILU GETANEH</t>
        </is>
      </c>
    </row>
    <row r="475">
      <c r="H475" s="26" t="inlineStr">
        <is>
          <t>BEST MART TRADING PLC</t>
        </is>
      </c>
    </row>
    <row r="476">
      <c r="H476" s="26" t="inlineStr">
        <is>
          <t>BET TRADING</t>
        </is>
      </c>
    </row>
    <row r="477">
      <c r="H477" s="26" t="inlineStr">
        <is>
          <t>BETA TECHNOLOGY AND SOLUTION SHARE COMPANY</t>
        </is>
      </c>
    </row>
    <row r="478">
      <c r="H478" s="26" t="inlineStr">
        <is>
          <t>BETA TRADING AND ENGINEERING PLC</t>
        </is>
      </c>
    </row>
    <row r="479">
      <c r="H479" s="26" t="inlineStr">
        <is>
          <t>BETE ABERHAM HOTEL</t>
        </is>
      </c>
    </row>
    <row r="480">
      <c r="H480" s="26" t="inlineStr">
        <is>
          <t>BETE DANIEL HOTEL</t>
        </is>
      </c>
    </row>
    <row r="481">
      <c r="H481" s="26" t="inlineStr">
        <is>
          <t>BETEHESDA AMERIACAN MEDICAL PLAZA PLC</t>
        </is>
      </c>
    </row>
    <row r="482">
      <c r="H482" s="26" t="inlineStr">
        <is>
          <t>BETELIHEM TAMIR LIYEW</t>
        </is>
      </c>
    </row>
    <row r="483">
      <c r="H483" s="26" t="inlineStr">
        <is>
          <t>BETEZATA GENERAL HOSPITAL</t>
        </is>
      </c>
    </row>
    <row r="484">
      <c r="H484" s="26" t="inlineStr">
        <is>
          <t>BETHEL ABYNEH ERKALO</t>
        </is>
      </c>
    </row>
    <row r="485">
      <c r="H485" s="26" t="inlineStr">
        <is>
          <t>BETHELHEM ANDARGE BIRKAYEHU(TUTU NOODLE)</t>
        </is>
      </c>
    </row>
    <row r="486">
      <c r="H486" s="26" t="inlineStr">
        <is>
          <t>BETHELHEM TESFAYE TILAHUN</t>
        </is>
      </c>
    </row>
    <row r="487">
      <c r="H487" s="26" t="inlineStr">
        <is>
          <t>BETNA GENERAL TRADING PLC</t>
        </is>
      </c>
    </row>
    <row r="488">
      <c r="H488" s="26" t="inlineStr">
        <is>
          <t>BETNOVA TRADING ONE MEMBER PLC</t>
        </is>
      </c>
    </row>
    <row r="489">
      <c r="H489" s="26" t="inlineStr">
        <is>
          <t>BEYENE JIGSO</t>
        </is>
      </c>
    </row>
    <row r="490">
      <c r="H490" s="26" t="inlineStr">
        <is>
          <t>BEZA LE ANDINET HULEGEB SHEMACHOCH</t>
        </is>
      </c>
    </row>
    <row r="491">
      <c r="H491" s="26" t="inlineStr">
        <is>
          <t>BGH HOTEL PLC</t>
        </is>
      </c>
    </row>
    <row r="492">
      <c r="H492" s="26" t="inlineStr">
        <is>
          <t>BGI TEST OF TEST</t>
        </is>
      </c>
    </row>
    <row r="493">
      <c r="H493" s="26" t="inlineStr">
        <is>
          <t>BHERAWIE PHARMACY</t>
        </is>
      </c>
    </row>
    <row r="494">
      <c r="H494" s="26" t="inlineStr">
        <is>
          <t>BHM CLUB AND LOUNGE PLC</t>
        </is>
      </c>
    </row>
    <row r="495">
      <c r="H495" s="26" t="inlineStr">
        <is>
          <t>BIFREKOT COFFEE PLC</t>
        </is>
      </c>
    </row>
    <row r="496">
      <c r="H496" s="26" t="inlineStr">
        <is>
          <t>BIGAR BUILDERS AND DEVELOPERS PLC</t>
        </is>
      </c>
    </row>
    <row r="497">
      <c r="H497" s="26" t="inlineStr">
        <is>
          <t>BILISE DURESSA MABESHA</t>
        </is>
      </c>
    </row>
    <row r="498">
      <c r="H498" s="26" t="inlineStr">
        <is>
          <t>BILISUMA REGASA DERESA</t>
        </is>
      </c>
    </row>
    <row r="499">
      <c r="H499" s="26" t="inlineStr">
        <is>
          <t>BILOS PASTRY PLC</t>
        </is>
      </c>
    </row>
    <row r="500">
      <c r="H500" s="26" t="inlineStr">
        <is>
          <t>BINCO TRADING</t>
        </is>
      </c>
    </row>
    <row r="501">
      <c r="H501" s="26" t="inlineStr">
        <is>
          <t>BINCO TRADING PLC</t>
        </is>
      </c>
    </row>
    <row r="502">
      <c r="H502" s="26" t="inlineStr">
        <is>
          <t>BINIAM GEBREYOHANNES SHIRTAGA</t>
        </is>
      </c>
    </row>
    <row r="503">
      <c r="H503" s="26" t="inlineStr">
        <is>
          <t>BINIYAM ABEBE HABTEGEBRIEL</t>
        </is>
      </c>
    </row>
    <row r="504">
      <c r="H504" s="26" t="inlineStr">
        <is>
          <t>BINIYAM ASSEFA FANTAYE</t>
        </is>
      </c>
    </row>
    <row r="505">
      <c r="H505" s="26" t="inlineStr">
        <is>
          <t>BINIYAM GETU TEFERA</t>
        </is>
      </c>
    </row>
    <row r="506">
      <c r="H506" s="26" t="inlineStr">
        <is>
          <t>BINIYAM HAILU BIREDA</t>
        </is>
      </c>
    </row>
    <row r="507">
      <c r="H507" s="26" t="inlineStr">
        <is>
          <t>BINIYAM TSEGAYE TEGEGNE</t>
        </is>
      </c>
    </row>
    <row r="508">
      <c r="H508" s="26" t="inlineStr">
        <is>
          <t>BINYAM AND WOSSEN FURNITURE WORK</t>
        </is>
      </c>
    </row>
    <row r="509">
      <c r="H509" s="26" t="inlineStr">
        <is>
          <t>BINYAM TEREFE</t>
        </is>
      </c>
    </row>
    <row r="510">
      <c r="H510" s="26" t="inlineStr">
        <is>
          <t>BIRHAN ELIAS LEWETEGN</t>
        </is>
      </c>
    </row>
    <row r="511">
      <c r="H511" s="26" t="inlineStr">
        <is>
          <t>BIRHAN TESFAYE GSILASSIE</t>
        </is>
      </c>
    </row>
    <row r="512">
      <c r="H512" s="26" t="inlineStr">
        <is>
          <t>BIRHANU INTERNATIONAL HOTEL</t>
        </is>
      </c>
    </row>
    <row r="513">
      <c r="H513" s="26" t="inlineStr">
        <is>
          <t>BIRHANU KACHA FUJO</t>
        </is>
      </c>
    </row>
    <row r="514">
      <c r="H514" s="26" t="inlineStr">
        <is>
          <t>BIRHANU WELAMO</t>
        </is>
      </c>
    </row>
    <row r="515">
      <c r="H515" s="26" t="inlineStr">
        <is>
          <t>BIRKE ALEMU DAWUD</t>
        </is>
      </c>
    </row>
    <row r="516">
      <c r="H516" s="26" t="inlineStr">
        <is>
          <t>BIRTUKAN BERYSA MECHASA</t>
        </is>
      </c>
    </row>
    <row r="517">
      <c r="H517" s="26" t="inlineStr">
        <is>
          <t>BIRUK GETACHER GEBREHIWOT</t>
        </is>
      </c>
    </row>
    <row r="518">
      <c r="H518" s="26" t="inlineStr">
        <is>
          <t>BIRUK WOLDE ASSENA</t>
        </is>
      </c>
    </row>
    <row r="519">
      <c r="H519" s="26" t="inlineStr">
        <is>
          <t>BIS CONSULTING PLC</t>
        </is>
      </c>
    </row>
    <row r="520">
      <c r="H520" s="26" t="inlineStr">
        <is>
          <t>BISHOFTU AFAF HOTEL GEBEREWOCH HOTEL</t>
        </is>
      </c>
    </row>
    <row r="521">
      <c r="H521" s="26" t="inlineStr">
        <is>
          <t>BISHOFTU AWASH HOTEL</t>
        </is>
      </c>
    </row>
    <row r="522">
      <c r="H522" s="26" t="inlineStr">
        <is>
          <t>BISIRAT PLC</t>
        </is>
      </c>
    </row>
    <row r="523">
      <c r="H523" s="26" t="inlineStr">
        <is>
          <t>BITANIYA HIGHER CLINIC PLC</t>
        </is>
      </c>
    </row>
    <row r="524">
      <c r="H524" s="26" t="inlineStr">
        <is>
          <t>BITANNIA SISAY FEKADU</t>
        </is>
      </c>
    </row>
    <row r="525">
      <c r="H525" s="26" t="inlineStr">
        <is>
          <t>BITE ADDIS BURGER HOUSE TARDING PLC</t>
        </is>
      </c>
    </row>
    <row r="526">
      <c r="H526" s="26" t="inlineStr">
        <is>
          <t>BITE HOUSE CAFE AND RESTAURANT PLC</t>
        </is>
      </c>
    </row>
    <row r="527">
      <c r="H527" s="26" t="inlineStr">
        <is>
          <t>BITMAS GENERAL TRADING PLC</t>
        </is>
      </c>
    </row>
    <row r="528">
      <c r="H528" s="26" t="inlineStr">
        <is>
          <t>BITWEDED BAHIRU INDUSTRY</t>
        </is>
      </c>
    </row>
    <row r="529">
      <c r="H529" s="26" t="inlineStr">
        <is>
          <t>BIYA DEKA MULETA</t>
        </is>
      </c>
    </row>
    <row r="530">
      <c r="H530" s="26" t="inlineStr">
        <is>
          <t>BIZI TRADING PLC</t>
        </is>
      </c>
    </row>
    <row r="531">
      <c r="H531" s="26" t="inlineStr">
        <is>
          <t>BIZNAT AUTO PLC</t>
        </is>
      </c>
    </row>
    <row r="532">
      <c r="H532" s="26" t="inlineStr">
        <is>
          <t>BIZUAYEHU TILKSEW NADEW</t>
        </is>
      </c>
    </row>
    <row r="533">
      <c r="H533" s="26" t="inlineStr">
        <is>
          <t>BLACK ECHO FOOD</t>
        </is>
      </c>
    </row>
    <row r="534">
      <c r="H534" s="26" t="inlineStr">
        <is>
          <t>BLACK FROG TRADING PLC</t>
        </is>
      </c>
    </row>
    <row r="535">
      <c r="H535" s="26" t="inlineStr">
        <is>
          <t>BLACK PEARL BUSINESS PLC</t>
        </is>
      </c>
    </row>
    <row r="536">
      <c r="H536" s="26" t="inlineStr">
        <is>
          <t>BLEN PLAZA HOTEL</t>
        </is>
      </c>
    </row>
    <row r="537">
      <c r="H537" s="26" t="inlineStr">
        <is>
          <t>BLEN SOLOMON HAILU</t>
        </is>
      </c>
    </row>
    <row r="538">
      <c r="H538" s="26" t="inlineStr">
        <is>
          <t>BLENDANA HOTEL</t>
        </is>
      </c>
    </row>
    <row r="539">
      <c r="H539" s="26" t="inlineStr">
        <is>
          <t>BLOOM AFRICA GENERAL TRADING ONE MEMBERSHIP PLC</t>
        </is>
      </c>
    </row>
    <row r="540">
      <c r="H540" s="26" t="inlineStr">
        <is>
          <t>BLOOM SUPERMARKET PLC</t>
        </is>
      </c>
    </row>
    <row r="541">
      <c r="H541" s="26" t="inlineStr">
        <is>
          <t>BLUE DROPS TRADING PLC</t>
        </is>
      </c>
    </row>
    <row r="542">
      <c r="H542" s="26" t="inlineStr">
        <is>
          <t>BLUE FLAME TRADING PLC</t>
        </is>
      </c>
    </row>
    <row r="543">
      <c r="H543" s="26" t="inlineStr">
        <is>
          <t>BLUE LINE IMPORT AND EXPORT</t>
        </is>
      </c>
    </row>
    <row r="544">
      <c r="H544" s="26" t="inlineStr">
        <is>
          <t>BLUE NEST HOTEL</t>
        </is>
      </c>
    </row>
    <row r="545">
      <c r="H545" s="26" t="inlineStr">
        <is>
          <t>BLUE NILE PP</t>
        </is>
      </c>
    </row>
    <row r="546">
      <c r="H546" s="26" t="inlineStr">
        <is>
          <t>BLUE NILE RESORT HOTEL PLC</t>
        </is>
      </c>
    </row>
    <row r="547">
      <c r="H547" s="26" t="inlineStr">
        <is>
          <t>BLUE SKY HOTEL</t>
        </is>
      </c>
    </row>
    <row r="548">
      <c r="H548" s="26" t="inlineStr">
        <is>
          <t>BLUE ZONE PLASTIC INDUSTRY PLC</t>
        </is>
      </c>
    </row>
    <row r="549">
      <c r="H549" s="26" t="inlineStr">
        <is>
          <t>BLUSOOM HOTEL</t>
        </is>
      </c>
    </row>
    <row r="550">
      <c r="H550" s="26" t="inlineStr">
        <is>
          <t>BMWB TRADING PLC</t>
        </is>
      </c>
    </row>
    <row r="551">
      <c r="H551" s="26" t="inlineStr">
        <is>
          <t>BO CHENG PLASTIC MANUFACTURING PLC</t>
        </is>
      </c>
    </row>
    <row r="552">
      <c r="H552" s="26" t="inlineStr">
        <is>
          <t>BOGALECH AYUTAGED SETEGN (WARKA HOTEL)</t>
        </is>
      </c>
    </row>
    <row r="553">
      <c r="H553" s="26" t="inlineStr">
        <is>
          <t>BOGALECH KEBEDE</t>
        </is>
      </c>
    </row>
    <row r="554">
      <c r="H554" s="26" t="inlineStr">
        <is>
          <t>BOLE BESHALE CONSTRACTION RESIDENCE HOUSE OWNERS</t>
        </is>
      </c>
    </row>
    <row r="555">
      <c r="H555" s="26" t="inlineStr">
        <is>
          <t>BOLE HUMAN MEDICINE AND MEDICAL SUPP.WHOLE SALE PLC</t>
        </is>
      </c>
    </row>
    <row r="556">
      <c r="H556" s="26" t="inlineStr">
        <is>
          <t>BOLE INTERNATIONAL HOTEL</t>
        </is>
      </c>
    </row>
    <row r="557">
      <c r="H557" s="26" t="inlineStr">
        <is>
          <t>BOLE SAFARI HOTEL</t>
        </is>
      </c>
    </row>
    <row r="558">
      <c r="H558" s="26" t="inlineStr">
        <is>
          <t>BOLE TRADING PLC</t>
        </is>
      </c>
    </row>
    <row r="559">
      <c r="H559" s="26" t="inlineStr">
        <is>
          <t>BOLE WINGS BAR AND RESTAURANT</t>
        </is>
      </c>
    </row>
    <row r="560">
      <c r="H560" s="26" t="inlineStr">
        <is>
          <t>BONITO TRADING PLC</t>
        </is>
      </c>
    </row>
    <row r="561">
      <c r="H561" s="26" t="inlineStr">
        <is>
          <t>BOOM MANUFACTURING PLC</t>
        </is>
      </c>
    </row>
    <row r="562">
      <c r="H562" s="26" t="inlineStr">
        <is>
          <t>BORA AMUSMENT</t>
        </is>
      </c>
    </row>
    <row r="563">
      <c r="H563" s="26" t="inlineStr">
        <is>
          <t>BORRI PLC</t>
        </is>
      </c>
    </row>
    <row r="564">
      <c r="H564" s="26" t="inlineStr">
        <is>
          <t>BOSTIC INDUSTRIAL PLC</t>
        </is>
      </c>
    </row>
    <row r="565">
      <c r="H565" s="26" t="inlineStr">
        <is>
          <t>BOSTON DAY AND SPA</t>
        </is>
      </c>
    </row>
    <row r="566">
      <c r="H566" s="26" t="inlineStr">
        <is>
          <t>BRAVO TREAING</t>
        </is>
      </c>
    </row>
    <row r="567">
      <c r="H567" s="26" t="inlineStr">
        <is>
          <t>BREW HEAVEN PLC</t>
        </is>
      </c>
    </row>
    <row r="568">
      <c r="H568" s="26" t="inlineStr">
        <is>
          <t>BRIGHT FLAME TRADING ONE MEMBER PLC</t>
        </is>
      </c>
    </row>
    <row r="569">
      <c r="H569" s="26" t="inlineStr">
        <is>
          <t>BRIGHTFLAME TRADING ONE MEMBER PLC</t>
        </is>
      </c>
    </row>
    <row r="570">
      <c r="H570" s="26" t="inlineStr">
        <is>
          <t>BROOK CHICKEN</t>
        </is>
      </c>
    </row>
    <row r="571">
      <c r="H571" s="26" t="inlineStr">
        <is>
          <t>BROTHERHOOD WATER WELL DRILLING AND CONSTRUCTION PLC</t>
        </is>
      </c>
    </row>
    <row r="572">
      <c r="H572" s="26" t="inlineStr">
        <is>
          <t>BROWN FOOD PLC</t>
        </is>
      </c>
    </row>
    <row r="573">
      <c r="H573" s="26" t="inlineStr">
        <is>
          <t>BROWNIE TIME</t>
        </is>
      </c>
    </row>
    <row r="574">
      <c r="H574" s="26" t="inlineStr">
        <is>
          <t>BTB TRANSFORMER MANUFACTURING PLC</t>
        </is>
      </c>
    </row>
    <row r="575">
      <c r="H575" s="26" t="inlineStr">
        <is>
          <t>BUFFALO INDUSTRY AND TRADING PLC</t>
        </is>
      </c>
    </row>
    <row r="576">
      <c r="H576" s="26" t="inlineStr">
        <is>
          <t>BUILDERS UP CONSTRUCTION  PLC</t>
        </is>
      </c>
    </row>
    <row r="577">
      <c r="H577" s="26" t="inlineStr">
        <is>
          <t>BULECHA WATA</t>
        </is>
      </c>
    </row>
    <row r="578">
      <c r="H578" s="26" t="inlineStr">
        <is>
          <t>BUNCHO COFFEE TRADING PLC(DUKAMO)</t>
        </is>
      </c>
    </row>
    <row r="579">
      <c r="H579" s="26" t="inlineStr">
        <is>
          <t>BURGER FACTORY TRADING PLC</t>
        </is>
      </c>
    </row>
    <row r="580">
      <c r="H580" s="26" t="inlineStr">
        <is>
          <t>BUSSINES AND BEYOND TRADING PLC</t>
        </is>
      </c>
    </row>
    <row r="581">
      <c r="H581" s="26" t="inlineStr">
        <is>
          <t>BUY MORE TRADING PLC</t>
        </is>
      </c>
    </row>
    <row r="582">
      <c r="H582" s="26" t="inlineStr">
        <is>
          <t>BUY RITE TRADING PLC</t>
        </is>
      </c>
    </row>
    <row r="583">
      <c r="H583" s="26" t="inlineStr">
        <is>
          <t>BZAYNU TRADING PLC ADORA HOTEL</t>
        </is>
      </c>
    </row>
    <row r="584">
      <c r="H584" s="26" t="inlineStr">
        <is>
          <t>C B E PENSIONERS CAFETERIA</t>
        </is>
      </c>
    </row>
    <row r="585">
      <c r="H585" s="26" t="inlineStr">
        <is>
          <t>C H S TRADING ONE MEMBER P L C</t>
        </is>
      </c>
    </row>
    <row r="586">
      <c r="H586" s="26" t="inlineStr">
        <is>
          <t>CAALTUU LEENCAA USHAA</t>
        </is>
      </c>
    </row>
    <row r="587">
      <c r="H587" s="26" t="inlineStr">
        <is>
          <t>CACTUS COFFEE CAFE</t>
        </is>
      </c>
    </row>
    <row r="588">
      <c r="H588" s="26" t="inlineStr">
        <is>
          <t>CAFE TUBA</t>
        </is>
      </c>
    </row>
    <row r="589">
      <c r="H589" s="26" t="inlineStr">
        <is>
          <t>CAI WEI</t>
        </is>
      </c>
    </row>
    <row r="590">
      <c r="H590" s="26" t="inlineStr">
        <is>
          <t>CALMORA GENERAL TRADING PLC</t>
        </is>
      </c>
    </row>
    <row r="591">
      <c r="H591" s="26" t="inlineStr">
        <is>
          <t>CAMELS TRADING ENTERPRISE PLC</t>
        </is>
      </c>
    </row>
    <row r="592">
      <c r="H592" s="26" t="inlineStr">
        <is>
          <t>CANAAN PHARMACY</t>
        </is>
      </c>
    </row>
    <row r="593">
      <c r="H593" s="26" t="inlineStr">
        <is>
          <t>CANNOLI TRADING ONE MEMBER PRIVATE LIMITED COMPANY</t>
        </is>
      </c>
    </row>
    <row r="594">
      <c r="H594" s="26" t="inlineStr">
        <is>
          <t>CAPITAL BUSINESS PLC</t>
        </is>
      </c>
    </row>
    <row r="595">
      <c r="H595" s="26" t="inlineStr">
        <is>
          <t>CARAVAN HOTEL</t>
        </is>
      </c>
    </row>
    <row r="596">
      <c r="H596" s="26" t="inlineStr">
        <is>
          <t>CARE SERVICE AND TRADING PLC</t>
        </is>
      </c>
    </row>
    <row r="597">
      <c r="H597" s="26" t="inlineStr">
        <is>
          <t>CARETINA PHARMA INTERNATIONAL PLC</t>
        </is>
      </c>
    </row>
    <row r="598">
      <c r="H598" s="26" t="inlineStr">
        <is>
          <t>CARMI INTERNATIONAL PLC</t>
        </is>
      </c>
    </row>
    <row r="599">
      <c r="H599" s="26" t="inlineStr">
        <is>
          <t>CASSIOPEIA LOGISTICS AND CONSTRUCTION</t>
        </is>
      </c>
    </row>
    <row r="600">
      <c r="H600" s="26" t="inlineStr">
        <is>
          <t>CASTELLI INVESTEMENT PLC</t>
        </is>
      </c>
    </row>
    <row r="601">
      <c r="H601" s="26" t="inlineStr">
        <is>
          <t>CATALINA TRADING PLC</t>
        </is>
      </c>
    </row>
    <row r="602">
      <c r="H602" s="26" t="inlineStr">
        <is>
          <t>CBE CINEMA</t>
        </is>
      </c>
    </row>
    <row r="603">
      <c r="H603" s="26" t="inlineStr">
        <is>
          <t>CCECC DIRE DAWA HOTEL</t>
        </is>
      </c>
    </row>
    <row r="604">
      <c r="H604" s="26" t="inlineStr">
        <is>
          <t>CCI CONTACT CENTER PLC</t>
        </is>
      </c>
    </row>
    <row r="605">
      <c r="H605" s="26" t="inlineStr">
        <is>
          <t>CELAVIE CHICKEN 2018</t>
        </is>
      </c>
    </row>
    <row r="606">
      <c r="H606" s="26" t="inlineStr">
        <is>
          <t>CELAVIE CHICKEN AND BURGER</t>
        </is>
      </c>
    </row>
    <row r="607">
      <c r="H607" s="26" t="inlineStr">
        <is>
          <t>CENTRAL HAWASSA</t>
        </is>
      </c>
    </row>
    <row r="608">
      <c r="H608" s="26" t="inlineStr">
        <is>
          <t>CENTRAL HAWASSA 2016 (OLD DB)</t>
        </is>
      </c>
    </row>
    <row r="609">
      <c r="H609" s="26" t="inlineStr">
        <is>
          <t>CENTRAL HAWASSA 2018</t>
        </is>
      </c>
    </row>
    <row r="610">
      <c r="H610" s="26" t="inlineStr">
        <is>
          <t>CENTRAL HAWASSA 2019</t>
        </is>
      </c>
    </row>
    <row r="611">
      <c r="H611" s="26" t="inlineStr">
        <is>
          <t>CENTRAL SUPERMARKET PLC</t>
        </is>
      </c>
    </row>
    <row r="612">
      <c r="H612" s="26" t="inlineStr">
        <is>
          <t>CENTURY ADDIS REAL ESTATE PLC</t>
        </is>
      </c>
    </row>
    <row r="613">
      <c r="H613" s="26" t="inlineStr">
        <is>
          <t>CENTURY MALL</t>
        </is>
      </c>
    </row>
    <row r="614">
      <c r="H614" s="26" t="inlineStr">
        <is>
          <t>CHACHI TEFERA BIRBERSA(WARKA BUNA)</t>
        </is>
      </c>
    </row>
    <row r="615">
      <c r="H615" s="26" t="inlineStr">
        <is>
          <t>CHAMBER PRINTING HOUSE PLC</t>
        </is>
      </c>
    </row>
    <row r="616">
      <c r="H616" s="26" t="inlineStr">
        <is>
          <t>CHANOLY SMOTHY</t>
        </is>
      </c>
    </row>
    <row r="617">
      <c r="H617" s="26" t="inlineStr">
        <is>
          <t>CHECHEHO INDUSTRIAL PLC</t>
        </is>
      </c>
    </row>
    <row r="618">
      <c r="H618" s="26" t="inlineStr">
        <is>
          <t>CHECK-INN HOTEL</t>
        </is>
      </c>
    </row>
    <row r="619">
      <c r="H619" s="26" t="inlineStr">
        <is>
          <t>CHEFE TRADITIONAL RESTAURANT</t>
        </is>
      </c>
    </row>
    <row r="620">
      <c r="H620" s="26" t="inlineStr">
        <is>
          <t>CHEMICAL INDUSTRY CORPORATION</t>
        </is>
      </c>
    </row>
    <row r="621">
      <c r="H621" s="26" t="inlineStr">
        <is>
          <t>CHENG SHUHANG MANUFACTURING</t>
        </is>
      </c>
    </row>
    <row r="622">
      <c r="H622" s="26" t="inlineStr">
        <is>
          <t>CHICKEN WORLD TRADING PLC</t>
        </is>
      </c>
    </row>
    <row r="623">
      <c r="H623" s="26" t="inlineStr">
        <is>
          <t>CHILAX COFFEE HOUSE PRIVATE LIMITED COMPANY</t>
        </is>
      </c>
    </row>
    <row r="624">
      <c r="H624" s="26" t="inlineStr">
        <is>
          <t>CHILDREN AND YOUTH THEATRE</t>
        </is>
      </c>
    </row>
    <row r="625">
      <c r="H625" s="26" t="inlineStr">
        <is>
          <t>CHINA BAR AND RESTAURATN PLC</t>
        </is>
      </c>
    </row>
    <row r="626">
      <c r="H626" s="26" t="inlineStr">
        <is>
          <t>CHIRON CAFE AND RESTAURANT</t>
        </is>
      </c>
    </row>
    <row r="627">
      <c r="H627" s="26" t="inlineStr">
        <is>
          <t>CHK TRADING PLC</t>
        </is>
      </c>
    </row>
    <row r="628">
      <c r="H628" s="26" t="inlineStr">
        <is>
          <t>CHOKE BUSINESS GROUP PLC</t>
        </is>
      </c>
    </row>
    <row r="629">
      <c r="H629" s="26" t="inlineStr">
        <is>
          <t>CHOMA GRILL PLC</t>
        </is>
      </c>
    </row>
    <row r="630">
      <c r="H630" s="26" t="inlineStr">
        <is>
          <t>CHRISTIAN YONAS GEBREMESKEL</t>
        </is>
      </c>
    </row>
    <row r="631">
      <c r="H631" s="26" t="inlineStr">
        <is>
          <t>CHRISTY HOTEL</t>
        </is>
      </c>
    </row>
    <row r="632">
      <c r="H632" s="26" t="inlineStr">
        <is>
          <t>CHUCHU HOTEL</t>
        </is>
      </c>
    </row>
    <row r="633">
      <c r="H633" s="26" t="inlineStr">
        <is>
          <t>CHUCHU SUPERMARKET</t>
        </is>
      </c>
    </row>
    <row r="634">
      <c r="H634" s="26" t="inlineStr">
        <is>
          <t>CHURCHILL HOTEL</t>
        </is>
      </c>
    </row>
    <row r="635">
      <c r="H635" s="26" t="inlineStr">
        <is>
          <t>CITY SIDE TRADING PLC</t>
        </is>
      </c>
    </row>
    <row r="636">
      <c r="H636" s="26" t="inlineStr">
        <is>
          <t>CLASSIC PACKAGING PLC</t>
        </is>
      </c>
    </row>
    <row r="637">
      <c r="H637" s="26" t="inlineStr">
        <is>
          <t>CLEOPATRA HOTEL AND SPA</t>
        </is>
      </c>
    </row>
    <row r="638">
      <c r="H638" s="26" t="inlineStr">
        <is>
          <t>CLICK BUSINESS GROUP PLC</t>
        </is>
      </c>
    </row>
    <row r="639">
      <c r="H639" s="26" t="inlineStr">
        <is>
          <t>CLOUD CONSTRUCTION MACHINERY RENT ONE MEMBER PLC</t>
        </is>
      </c>
    </row>
    <row r="640">
      <c r="H640" s="26" t="inlineStr">
        <is>
          <t>CNET SOFTWARE TECHNOLOGY</t>
        </is>
      </c>
    </row>
    <row r="641">
      <c r="H641" s="26" t="inlineStr">
        <is>
          <t>COBUNAQA TRADING PLC</t>
        </is>
      </c>
    </row>
    <row r="642">
      <c r="H642" s="26" t="inlineStr">
        <is>
          <t>COFFEE CITY</t>
        </is>
      </c>
    </row>
    <row r="643">
      <c r="H643" s="26" t="inlineStr">
        <is>
          <t>COFFEE COLOGY CAFE AND BREAKFAST SERVICE</t>
        </is>
      </c>
    </row>
    <row r="644">
      <c r="H644" s="26" t="inlineStr">
        <is>
          <t>COFFEE EIGHTY NINE TRADING PLC</t>
        </is>
      </c>
    </row>
    <row r="645">
      <c r="H645" s="26" t="inlineStr">
        <is>
          <t>COFFEE HOLIC TRADING ONE MEMBER PLC</t>
        </is>
      </c>
    </row>
    <row r="646">
      <c r="H646" s="26" t="inlineStr">
        <is>
          <t>COLDSTONE DJIBOUTI</t>
        </is>
      </c>
    </row>
    <row r="647">
      <c r="H647" s="26" t="inlineStr">
        <is>
          <t>COMFORT IMPORT TRADE IN CHEMICALS</t>
        </is>
      </c>
    </row>
    <row r="648">
      <c r="H648" s="26" t="inlineStr">
        <is>
          <t>COMPAS CONSTRUCTION PLC</t>
        </is>
      </c>
    </row>
    <row r="649">
      <c r="H649" s="26" t="inlineStr">
        <is>
          <t>COOL MANUFACTURING PLC</t>
        </is>
      </c>
    </row>
    <row r="650">
      <c r="H650" s="26" t="inlineStr">
        <is>
          <t>CORNER CAFE TRADING PLC</t>
        </is>
      </c>
    </row>
    <row r="651">
      <c r="H651" s="26" t="inlineStr">
        <is>
          <t>CORTEX PLC</t>
        </is>
      </c>
    </row>
    <row r="652">
      <c r="H652" s="26" t="inlineStr">
        <is>
          <t>COSKAL ETHIOPIA PLC</t>
        </is>
      </c>
    </row>
    <row r="653">
      <c r="H653" s="26" t="inlineStr">
        <is>
          <t>COSMOPOLITAN REAL STATE PLC</t>
        </is>
      </c>
    </row>
    <row r="654">
      <c r="H654" s="26" t="inlineStr">
        <is>
          <t>COUNTRY CLUB DEVELOPERS PLC</t>
        </is>
      </c>
    </row>
    <row r="655">
      <c r="H655" s="26" t="inlineStr">
        <is>
          <t>COZYNEST TRADING PLC</t>
        </is>
      </c>
    </row>
    <row r="656">
      <c r="H656" s="26" t="inlineStr">
        <is>
          <t>CREATIVE PLASTIC MANUFACTURING PLC</t>
        </is>
      </c>
    </row>
    <row r="657">
      <c r="H657" s="26" t="inlineStr">
        <is>
          <t>CROPSAVE TRADING</t>
        </is>
      </c>
    </row>
    <row r="658">
      <c r="H658" s="26" t="inlineStr">
        <is>
          <t>CRYSTAL CAPITAL SERVICE PLC</t>
        </is>
      </c>
    </row>
    <row r="659">
      <c r="H659" s="26" t="inlineStr">
        <is>
          <t>CUCINA MESOB RESTAURANT</t>
        </is>
      </c>
    </row>
    <row r="660">
      <c r="H660" s="26" t="inlineStr">
        <is>
          <t>CURACURE TRADING PLC</t>
        </is>
      </c>
    </row>
    <row r="661">
      <c r="H661" s="26" t="inlineStr">
        <is>
          <t>CURE TRADING AONE MEMBER PLC</t>
        </is>
      </c>
    </row>
    <row r="662">
      <c r="H662" s="26" t="inlineStr">
        <is>
          <t>CYNERGY IT TECHNOLOGIES TRADING PLC</t>
        </is>
      </c>
    </row>
    <row r="663">
      <c r="H663" s="26" t="inlineStr">
        <is>
          <t>D AFRIQUE TRADING PLC</t>
        </is>
      </c>
    </row>
    <row r="664">
      <c r="H664" s="26" t="inlineStr">
        <is>
          <t>D B AFRICA TRADING PLC</t>
        </is>
      </c>
    </row>
    <row r="665">
      <c r="H665" s="26" t="inlineStr">
        <is>
          <t>D D A PLC</t>
        </is>
      </c>
    </row>
    <row r="666">
      <c r="H666" s="26" t="inlineStr">
        <is>
          <t>D M C CONSTRUCTION PLC</t>
        </is>
      </c>
    </row>
    <row r="667">
      <c r="H667" s="26" t="inlineStr">
        <is>
          <t>DAAYO PHYSICAL FITNESS PLC</t>
        </is>
      </c>
    </row>
    <row r="668">
      <c r="H668" s="26" t="inlineStr">
        <is>
          <t>DABI FURNISHDED APARTMENT</t>
        </is>
      </c>
    </row>
    <row r="669">
      <c r="H669" s="26" t="inlineStr">
        <is>
          <t>DAD ENGINEERING W/SHOP PLC</t>
        </is>
      </c>
    </row>
    <row r="670">
      <c r="H670" s="26" t="inlineStr">
        <is>
          <t>DAFTA TRADING PLC</t>
        </is>
      </c>
    </row>
    <row r="671">
      <c r="H671" s="26" t="inlineStr">
        <is>
          <t>DAILY MINI MART PLC</t>
        </is>
      </c>
    </row>
    <row r="672">
      <c r="H672" s="26" t="inlineStr">
        <is>
          <t>DAISY HOTEL</t>
        </is>
      </c>
    </row>
    <row r="673">
      <c r="H673" s="26" t="inlineStr">
        <is>
          <t>DAKY TRADING PLC</t>
        </is>
      </c>
    </row>
    <row r="674">
      <c r="H674" s="26" t="inlineStr">
        <is>
          <t>DALLOL HOTEL (DALOTA)</t>
        </is>
      </c>
    </row>
    <row r="675">
      <c r="H675" s="26" t="inlineStr">
        <is>
          <t>DALU TRADING PLC</t>
        </is>
      </c>
    </row>
    <row r="676">
      <c r="H676" s="26" t="inlineStr">
        <is>
          <t>DAMAT HOTEL</t>
        </is>
      </c>
    </row>
    <row r="677">
      <c r="H677" s="26" t="inlineStr">
        <is>
          <t>DAMI INTERNATIONAL PLC</t>
        </is>
      </c>
    </row>
    <row r="678">
      <c r="H678" s="26" t="inlineStr">
        <is>
          <t>DAMIE GEMECHU KEBENESA</t>
        </is>
      </c>
    </row>
    <row r="679">
      <c r="H679" s="26" t="inlineStr">
        <is>
          <t>DAMMIX CONSTRUCTION CHEMICALS MANUFACTURING</t>
        </is>
      </c>
    </row>
    <row r="680">
      <c r="H680" s="26" t="inlineStr">
        <is>
          <t>DAMU HOTEL</t>
        </is>
      </c>
    </row>
    <row r="681">
      <c r="H681" s="26" t="inlineStr">
        <is>
          <t>DANECHO MUKERE PLC</t>
        </is>
      </c>
    </row>
    <row r="682">
      <c r="H682" s="26" t="inlineStr">
        <is>
          <t>DANEIL MIDKESA DEMESSA</t>
        </is>
      </c>
    </row>
    <row r="683">
      <c r="H683" s="26" t="inlineStr">
        <is>
          <t>DANGUZA ADVERTIZING</t>
        </is>
      </c>
    </row>
    <row r="684">
      <c r="H684" s="26" t="inlineStr">
        <is>
          <t>DANI STATIONRY</t>
        </is>
      </c>
    </row>
    <row r="685">
      <c r="H685" s="26" t="inlineStr">
        <is>
          <t>DANIEL ADMASSU BRHANE</t>
        </is>
      </c>
    </row>
    <row r="686">
      <c r="H686" s="26" t="inlineStr">
        <is>
          <t>DANIEL BELETE RETA</t>
        </is>
      </c>
    </row>
    <row r="687">
      <c r="H687" s="26" t="inlineStr">
        <is>
          <t>DANIEL KEBED NEMA</t>
        </is>
      </c>
    </row>
    <row r="688">
      <c r="H688" s="26" t="inlineStr">
        <is>
          <t>DANIEL MENGISTU DABI</t>
        </is>
      </c>
    </row>
    <row r="689">
      <c r="H689" s="26" t="inlineStr">
        <is>
          <t>DANIL TESFAYE HAILESLASSE</t>
        </is>
      </c>
    </row>
    <row r="690">
      <c r="H690" s="26" t="inlineStr">
        <is>
          <t>DANU ORTHOPEDICS SPECIALIZED HOSPITAL PLC</t>
        </is>
      </c>
    </row>
    <row r="691">
      <c r="H691" s="26" t="inlineStr">
        <is>
          <t>DARCO MANUFACTUING AND TRADING PLC</t>
        </is>
      </c>
    </row>
    <row r="692">
      <c r="H692" s="26" t="inlineStr">
        <is>
          <t>DARE BUSINESS PLC</t>
        </is>
      </c>
    </row>
    <row r="693">
      <c r="H693" s="26" t="inlineStr">
        <is>
          <t>DARESKEDAR GIRMA HAILU</t>
        </is>
      </c>
    </row>
    <row r="694">
      <c r="H694" s="26" t="inlineStr">
        <is>
          <t>DARIK COFFEE TRADING PLC</t>
        </is>
      </c>
    </row>
    <row r="695">
      <c r="H695" s="26" t="inlineStr">
        <is>
          <t>DARON TRADING PLC</t>
        </is>
      </c>
    </row>
    <row r="696">
      <c r="H696" s="26" t="inlineStr">
        <is>
          <t>DASHEN TRADITIONAL</t>
        </is>
      </c>
    </row>
    <row r="697">
      <c r="H697" s="26" t="inlineStr">
        <is>
          <t>DAWIT ASSEFA TEGEGN</t>
        </is>
      </c>
    </row>
    <row r="698">
      <c r="H698" s="26" t="inlineStr">
        <is>
          <t>DAWIT D TOURS</t>
        </is>
      </c>
    </row>
    <row r="699">
      <c r="H699" s="26" t="inlineStr">
        <is>
          <t>DAWIT HAILU HAILE GUEST HOUSE</t>
        </is>
      </c>
    </row>
    <row r="700">
      <c r="H700" s="26" t="inlineStr">
        <is>
          <t>DAWIT MINALU MELAKU</t>
        </is>
      </c>
    </row>
    <row r="701">
      <c r="H701" s="26" t="inlineStr">
        <is>
          <t>DAWIT MULAT ADENAGER</t>
        </is>
      </c>
    </row>
    <row r="702">
      <c r="H702" s="26" t="inlineStr">
        <is>
          <t>DAWIT WEBESHET ALEMU</t>
        </is>
      </c>
    </row>
    <row r="703">
      <c r="H703" s="26" t="inlineStr">
        <is>
          <t>DAWIT WUBE ESHETE</t>
        </is>
      </c>
    </row>
    <row r="704">
      <c r="H704" s="26" t="inlineStr">
        <is>
          <t>DAWIT WUBISHET</t>
        </is>
      </c>
    </row>
    <row r="705">
      <c r="H705" s="26" t="inlineStr">
        <is>
          <t>DAWIT YITBAREK</t>
        </is>
      </c>
    </row>
    <row r="706">
      <c r="H706" s="26" t="inlineStr">
        <is>
          <t>DAWIT ZENEBE GEBRE HIWOT</t>
        </is>
      </c>
    </row>
    <row r="707">
      <c r="H707" s="26" t="inlineStr">
        <is>
          <t>DAWIT ZEWDE BERIHU</t>
        </is>
      </c>
    </row>
    <row r="708">
      <c r="H708" s="26" t="inlineStr">
        <is>
          <t>DAWIT ZEWDU WOLDEMICHAEL</t>
        </is>
      </c>
    </row>
    <row r="709">
      <c r="H709" s="26" t="inlineStr">
        <is>
          <t>DAWUD HAMOLO HOTEL RESORT AND SPA</t>
        </is>
      </c>
    </row>
    <row r="710">
      <c r="H710" s="26" t="inlineStr">
        <is>
          <t>DAWUD SHERIF UMER</t>
        </is>
      </c>
    </row>
    <row r="711">
      <c r="H711" s="26" t="inlineStr">
        <is>
          <t>DAYE BENSA COFFEE EXPORT</t>
        </is>
      </c>
    </row>
    <row r="712">
      <c r="H712" s="26" t="inlineStr">
        <is>
          <t>DAYE BENSA COFFEE EXPORT PLC</t>
        </is>
      </c>
    </row>
    <row r="713">
      <c r="H713" s="26" t="inlineStr">
        <is>
          <t>DAYLIGHT APPLIED TECHNOLOGIES PLC</t>
        </is>
      </c>
    </row>
    <row r="714">
      <c r="H714" s="26" t="inlineStr">
        <is>
          <t>DAYO RINGS TRADING PLC</t>
        </is>
      </c>
    </row>
    <row r="715">
      <c r="H715" s="26" t="inlineStr">
        <is>
          <t>DAYSTAR SYSTEMS TECHNOLOGY</t>
        </is>
      </c>
    </row>
    <row r="716">
      <c r="H716" s="26" t="inlineStr">
        <is>
          <t>DDN FURNITURE AND FINISHING</t>
        </is>
      </c>
    </row>
    <row r="717">
      <c r="H717" s="26" t="inlineStr">
        <is>
          <t>DE LEOPOL INTERNATIONAL HOTEL</t>
        </is>
      </c>
    </row>
    <row r="718">
      <c r="H718" s="26" t="inlineStr">
        <is>
          <t>DEBAB GENERAL TRADING PLC</t>
        </is>
      </c>
    </row>
    <row r="719">
      <c r="H719" s="26" t="inlineStr">
        <is>
          <t>DEBELE KELBESA WAKJIRA</t>
        </is>
      </c>
    </row>
    <row r="720">
      <c r="H720" s="26" t="inlineStr">
        <is>
          <t>DEBORAH PLC</t>
        </is>
      </c>
    </row>
    <row r="721">
      <c r="H721" s="26" t="inlineStr">
        <is>
          <t>DEENRISE TRADING PLC</t>
        </is>
      </c>
    </row>
    <row r="722">
      <c r="H722" s="26" t="inlineStr">
        <is>
          <t>DEFENCE FORCE FOUNDATION GOLF CLUB</t>
        </is>
      </c>
    </row>
    <row r="723">
      <c r="H723" s="26" t="inlineStr">
        <is>
          <t>DEFENCE FORCE OFFICER CLUB</t>
        </is>
      </c>
    </row>
    <row r="724">
      <c r="H724" s="26" t="inlineStr">
        <is>
          <t>DEFINITE TRADING PLC</t>
        </is>
      </c>
    </row>
    <row r="725">
      <c r="H725" s="26" t="inlineStr">
        <is>
          <t>DEGA GROUP TRADING PLC</t>
        </is>
      </c>
    </row>
    <row r="726">
      <c r="H726" s="26" t="inlineStr">
        <is>
          <t>DEGESEFAM TRADING PLC</t>
        </is>
      </c>
    </row>
    <row r="727">
      <c r="H727" s="26" t="inlineStr">
        <is>
          <t>DELANO HOTEL</t>
        </is>
      </c>
    </row>
    <row r="728">
      <c r="H728" s="26" t="inlineStr">
        <is>
          <t>DELHE SECURITY AND CLEANING ONE MEMBER PLC</t>
        </is>
      </c>
    </row>
    <row r="729">
      <c r="H729" s="26" t="inlineStr">
        <is>
          <t>DELICACY PLC ( THE CAKE LOUNGE )</t>
        </is>
      </c>
    </row>
    <row r="730">
      <c r="H730" s="26" t="inlineStr">
        <is>
          <t>DELMELA TRADING PLC</t>
        </is>
      </c>
    </row>
    <row r="731">
      <c r="H731" s="26" t="inlineStr">
        <is>
          <t>DEMBEL CITY CENTER</t>
        </is>
      </c>
    </row>
    <row r="732">
      <c r="H732" s="26" t="inlineStr">
        <is>
          <t>DEMBEL VIEW INTERNATIONAL HOTEL</t>
        </is>
      </c>
    </row>
    <row r="733">
      <c r="H733" s="26" t="inlineStr">
        <is>
          <t>DEMBORKA GENERAL TRADING PLC</t>
        </is>
      </c>
    </row>
    <row r="734">
      <c r="H734" s="26" t="inlineStr">
        <is>
          <t>DEMERE HAILEMARIAM LAKEW</t>
        </is>
      </c>
    </row>
    <row r="735">
      <c r="H735" s="26" t="inlineStr">
        <is>
          <t>DEMIS TILAHUN H/MARIAM WOOD AND DOOR TRADE</t>
        </is>
      </c>
    </row>
    <row r="736">
      <c r="H736" s="26" t="inlineStr">
        <is>
          <t>DEMISSIE ADAMU WOLDETSADIK</t>
        </is>
      </c>
    </row>
    <row r="737">
      <c r="H737" s="26" t="inlineStr">
        <is>
          <t>DEMSE DENEKEW FENTA</t>
        </is>
      </c>
    </row>
    <row r="738">
      <c r="H738" s="26" t="inlineStr">
        <is>
          <t>DENTAL AND ORAL SERVICE PLC</t>
        </is>
      </c>
    </row>
    <row r="739">
      <c r="H739" s="26" t="inlineStr">
        <is>
          <t>DERARA KIDANE EDOSA (SINAN PASTRY)</t>
        </is>
      </c>
    </row>
    <row r="740">
      <c r="H740" s="26" t="inlineStr">
        <is>
          <t>DERARTU HOTEL</t>
        </is>
      </c>
    </row>
    <row r="741">
      <c r="H741" s="26" t="inlineStr">
        <is>
          <t>DERE ADVERTISING PLC</t>
        </is>
      </c>
    </row>
    <row r="742">
      <c r="H742" s="26" t="inlineStr">
        <is>
          <t>DEREJE ASNAKE WOLDEMICHAEL</t>
        </is>
      </c>
    </row>
    <row r="743">
      <c r="H743" s="26" t="inlineStr">
        <is>
          <t>DEREJE BEDEWI RESHID</t>
        </is>
      </c>
    </row>
    <row r="744">
      <c r="H744" s="26" t="inlineStr">
        <is>
          <t>DEREJE RETTA GELETA(AFROPOLITAN HOTEL</t>
        </is>
      </c>
    </row>
    <row r="745">
      <c r="H745" s="26" t="inlineStr">
        <is>
          <t>DEREJE SEYOUM DEMISE AKAKA COFFEE</t>
        </is>
      </c>
    </row>
    <row r="746">
      <c r="H746" s="26" t="inlineStr">
        <is>
          <t>DEREJE SHIFERAW</t>
        </is>
      </c>
    </row>
    <row r="747">
      <c r="H747" s="26" t="inlineStr">
        <is>
          <t>DESALEGN HOTEL</t>
        </is>
      </c>
    </row>
    <row r="748">
      <c r="H748" s="26" t="inlineStr">
        <is>
          <t>DESNINE HOTEL PLC</t>
        </is>
      </c>
    </row>
    <row r="749">
      <c r="H749" s="26" t="inlineStr">
        <is>
          <t>DESONS TRADING PLC</t>
        </is>
      </c>
    </row>
    <row r="750">
      <c r="H750" s="26" t="inlineStr">
        <is>
          <t>DESTA BERHE WELU</t>
        </is>
      </c>
    </row>
    <row r="751">
      <c r="H751" s="26" t="inlineStr">
        <is>
          <t>DESTA PLC</t>
        </is>
      </c>
    </row>
    <row r="752">
      <c r="H752" s="26" t="inlineStr">
        <is>
          <t>DESTA TEMESGEN ADELO</t>
        </is>
      </c>
    </row>
    <row r="753">
      <c r="H753" s="26" t="inlineStr">
        <is>
          <t>DESTINY ADDIS HOTEL</t>
        </is>
      </c>
    </row>
    <row r="754">
      <c r="H754" s="26" t="inlineStr">
        <is>
          <t>DH ONE RELESTATE PLC</t>
        </is>
      </c>
    </row>
    <row r="755">
      <c r="H755" s="26" t="inlineStr">
        <is>
          <t>DHL HEAD OFFICE</t>
        </is>
      </c>
    </row>
    <row r="756">
      <c r="H756" s="26" t="inlineStr">
        <is>
          <t>DHL WORLDWIDE EXPRESS ETHIOPIA PLC</t>
        </is>
      </c>
    </row>
    <row r="757">
      <c r="H757" s="26" t="inlineStr">
        <is>
          <t>DIAMOND ACADAMY PLC</t>
        </is>
      </c>
    </row>
    <row r="758">
      <c r="H758" s="26" t="inlineStr">
        <is>
          <t>DIAMOND PAPER MANUFACTURING PLC</t>
        </is>
      </c>
    </row>
    <row r="759">
      <c r="H759" s="26" t="inlineStr">
        <is>
          <t>DIAMOND SCHOOL</t>
        </is>
      </c>
    </row>
    <row r="760">
      <c r="H760" s="26" t="inlineStr">
        <is>
          <t>DIMA BEEKEEPING</t>
        </is>
      </c>
    </row>
    <row r="761">
      <c r="H761" s="26" t="inlineStr">
        <is>
          <t>DIMAZA REAL STATE PLC</t>
        </is>
      </c>
    </row>
    <row r="762">
      <c r="H762" s="26" t="inlineStr">
        <is>
          <t>DINA GEZAHEGN IMPORT AND EXPORT</t>
        </is>
      </c>
    </row>
    <row r="763">
      <c r="H763" s="26" t="inlineStr">
        <is>
          <t>DINA GEZU DESTA</t>
        </is>
      </c>
    </row>
    <row r="764">
      <c r="H764" s="26" t="inlineStr">
        <is>
          <t>DINK HOME FURNITURE PLC</t>
        </is>
      </c>
    </row>
    <row r="765">
      <c r="H765" s="26" t="inlineStr">
        <is>
          <t>DINKINESH SHEWANGIZAW</t>
        </is>
      </c>
    </row>
    <row r="766">
      <c r="H766" s="26" t="inlineStr">
        <is>
          <t>DIRE INTERNATIONAL HOTEL</t>
        </is>
      </c>
    </row>
    <row r="767">
      <c r="H767" s="26" t="inlineStr">
        <is>
          <t>DIRE MULTIPURPOSE FARMS UNION</t>
        </is>
      </c>
    </row>
    <row r="768">
      <c r="H768" s="26" t="inlineStr">
        <is>
          <t>DIREDAWA RAS HOTEL</t>
        </is>
      </c>
    </row>
    <row r="769">
      <c r="H769" s="26" t="inlineStr">
        <is>
          <t>DIREDEWA FOOD COMPLEX</t>
        </is>
      </c>
    </row>
    <row r="770">
      <c r="H770" s="26" t="inlineStr">
        <is>
          <t>DIRIBA GUTEMA ATOMSA</t>
        </is>
      </c>
    </row>
    <row r="771">
      <c r="H771" s="26" t="inlineStr">
        <is>
          <t>DLU TEXTILE INVESTMENT PLC</t>
        </is>
      </c>
    </row>
    <row r="772">
      <c r="H772" s="26" t="inlineStr">
        <is>
          <t>DOCTORS ALLIANCE HEALTHCARE PLC</t>
        </is>
      </c>
    </row>
    <row r="773">
      <c r="H773" s="26" t="inlineStr">
        <is>
          <t>DOGAW TRADING PLC</t>
        </is>
      </c>
    </row>
    <row r="774">
      <c r="H774" s="26" t="inlineStr">
        <is>
          <t>DOK M RESTAURANT PLC</t>
        </is>
      </c>
    </row>
    <row r="775">
      <c r="H775" s="26" t="inlineStr">
        <is>
          <t>DOLCHE ENGINEERING PLC</t>
        </is>
      </c>
    </row>
    <row r="776">
      <c r="H776" s="26" t="inlineStr">
        <is>
          <t>DOQA TRADING PLC</t>
        </is>
      </c>
    </row>
    <row r="777">
      <c r="H777" s="26" t="inlineStr">
        <is>
          <t>DOROTAY COMMERCE AND INDUSTRY</t>
        </is>
      </c>
    </row>
    <row r="778">
      <c r="H778" s="26" t="inlineStr">
        <is>
          <t>DOSE LOUNGE PLC (EZANA)</t>
        </is>
      </c>
    </row>
    <row r="779">
      <c r="H779" s="26" t="inlineStr">
        <is>
          <t>DOSHA HOTEL</t>
        </is>
      </c>
    </row>
    <row r="780">
      <c r="H780" s="26" t="inlineStr">
        <is>
          <t>DOUCEUR TRADING PLC ZEN HOTEL APPARTMENT</t>
        </is>
      </c>
    </row>
    <row r="781">
      <c r="H781" s="26" t="inlineStr">
        <is>
          <t>DOVECON CONSTRUCTION PLC</t>
        </is>
      </c>
    </row>
    <row r="782">
      <c r="H782" s="26" t="inlineStr">
        <is>
          <t>DR EMEBET SPECIAL DENTAL CLINIC</t>
        </is>
      </c>
    </row>
    <row r="783">
      <c r="H783" s="26" t="inlineStr">
        <is>
          <t>DRAGON TRADING PLC</t>
        </is>
      </c>
    </row>
    <row r="784">
      <c r="H784" s="26" t="inlineStr">
        <is>
          <t>DREAM  LIYANA HEALT HCARE PLC</t>
        </is>
      </c>
    </row>
    <row r="785">
      <c r="H785" s="26" t="inlineStr">
        <is>
          <t>DREAM LAND HOTEL AND RESORT</t>
        </is>
      </c>
    </row>
    <row r="786">
      <c r="H786" s="26" t="inlineStr">
        <is>
          <t>DREANTEAM TRADING PLC</t>
        </is>
      </c>
    </row>
    <row r="787">
      <c r="H787" s="26" t="inlineStr">
        <is>
          <t>DSME TRAINING PLC(AMEN KITFO)</t>
        </is>
      </c>
    </row>
    <row r="788">
      <c r="H788" s="26" t="inlineStr">
        <is>
          <t>DTS EXPORT PLC</t>
        </is>
      </c>
    </row>
    <row r="789">
      <c r="H789" s="26" t="inlineStr">
        <is>
          <t>DU SAAY PLC</t>
        </is>
      </c>
    </row>
    <row r="790">
      <c r="H790" s="26" t="inlineStr">
        <is>
          <t>DUDU VEHICLE MANUFACTURING PLC</t>
        </is>
      </c>
    </row>
    <row r="791">
      <c r="H791" s="26" t="inlineStr">
        <is>
          <t>DUGASA SHAKA GURMESA</t>
        </is>
      </c>
    </row>
    <row r="792">
      <c r="H792" s="26" t="inlineStr">
        <is>
          <t>DUGASSA YADETA</t>
        </is>
      </c>
    </row>
    <row r="793">
      <c r="H793" s="26" t="inlineStr">
        <is>
          <t>DUKA INTERNATIONAL SCHOOL SC</t>
        </is>
      </c>
    </row>
    <row r="794">
      <c r="H794" s="26" t="inlineStr">
        <is>
          <t>DUKE INTERNATIONAL BUSINESS</t>
        </is>
      </c>
    </row>
    <row r="795">
      <c r="H795" s="26" t="inlineStr">
        <is>
          <t>DUR ETHIOPIA AGRO INDUSTRY PLC</t>
        </is>
      </c>
    </row>
    <row r="796">
      <c r="H796" s="26" t="inlineStr">
        <is>
          <t>E G H PHARMACEUTICALS PLC</t>
        </is>
      </c>
    </row>
    <row r="797">
      <c r="H797" s="26" t="inlineStr">
        <is>
          <t>E L H REAL ESTATE PLC</t>
        </is>
      </c>
    </row>
    <row r="798">
      <c r="H798" s="26" t="inlineStr">
        <is>
          <t>E-ETHIO CREDIT SYSTEM PLC</t>
        </is>
      </c>
    </row>
    <row r="799">
      <c r="H799" s="26" t="inlineStr">
        <is>
          <t>E.A.R PLC</t>
        </is>
      </c>
    </row>
    <row r="800">
      <c r="H800" s="26" t="inlineStr">
        <is>
          <t>EAB TECHNOLOGY SOLUTIONS PLC</t>
        </is>
      </c>
    </row>
    <row r="801">
      <c r="H801" s="26" t="inlineStr">
        <is>
          <t>EAGLE ACADEMY PLC.</t>
        </is>
      </c>
    </row>
    <row r="802">
      <c r="H802" s="26" t="inlineStr">
        <is>
          <t>EAST AFIRICA GATEEAGATE CONSULTING PLC</t>
        </is>
      </c>
    </row>
    <row r="803">
      <c r="H803" s="26" t="inlineStr">
        <is>
          <t>EAST AFRICA PHARMACEUTICALS PLC</t>
        </is>
      </c>
    </row>
    <row r="804">
      <c r="H804" s="26" t="inlineStr">
        <is>
          <t>EAST AFRICA TRADING HOUSE</t>
        </is>
      </c>
    </row>
    <row r="805">
      <c r="H805" s="26" t="inlineStr">
        <is>
          <t>EAST AFRICAN MINING CORPORATION PLC</t>
        </is>
      </c>
    </row>
    <row r="806">
      <c r="H806" s="26" t="inlineStr">
        <is>
          <t>EASTERN DRAGON PACKAGE TECH PLC</t>
        </is>
      </c>
    </row>
    <row r="807">
      <c r="H807" s="26" t="inlineStr">
        <is>
          <t>EASTERN INDUSTRY PARK PLC</t>
        </is>
      </c>
    </row>
    <row r="808">
      <c r="H808" s="26" t="inlineStr">
        <is>
          <t>EASTERN PHARMA PLC</t>
        </is>
      </c>
    </row>
    <row r="809">
      <c r="H809" s="26" t="inlineStr">
        <is>
          <t>EASTMAND TREADING PLC</t>
        </is>
      </c>
    </row>
    <row r="810">
      <c r="H810" s="26" t="inlineStr">
        <is>
          <t>EASY HOME TRADING PLC</t>
        </is>
      </c>
    </row>
    <row r="811">
      <c r="H811" s="26" t="inlineStr">
        <is>
          <t>ECHA FOOD COMPLEX</t>
        </is>
      </c>
    </row>
    <row r="812">
      <c r="H812" s="26" t="inlineStr">
        <is>
          <t>ECO NON WOVEN BAG FACTORY PLC</t>
        </is>
      </c>
    </row>
    <row r="813">
      <c r="H813" s="26" t="inlineStr">
        <is>
          <t>ECOLODGES PLC BISHANGARI LODGE</t>
        </is>
      </c>
    </row>
    <row r="814">
      <c r="H814" s="26" t="inlineStr">
        <is>
          <t>ECOMA TRADING ONE MEMBER PLC</t>
        </is>
      </c>
    </row>
    <row r="815">
      <c r="H815" s="26" t="inlineStr">
        <is>
          <t>ECOSHINE TRADING PLC</t>
        </is>
      </c>
    </row>
    <row r="816">
      <c r="H816" s="26" t="inlineStr">
        <is>
          <t>EDEN BERHANU ASFAW</t>
        </is>
      </c>
    </row>
    <row r="817">
      <c r="H817" s="26" t="inlineStr">
        <is>
          <t>EDEN SISAY FEKDU (ESMJ IMPORT AND EXPORT)</t>
        </is>
      </c>
    </row>
    <row r="818">
      <c r="H818" s="26" t="inlineStr">
        <is>
          <t>EDGET INTERNATIONAL PLC</t>
        </is>
      </c>
    </row>
    <row r="819">
      <c r="H819" s="26" t="inlineStr">
        <is>
          <t>EDILAWI MOGES BEKELE</t>
        </is>
      </c>
    </row>
    <row r="820">
      <c r="H820" s="26" t="inlineStr">
        <is>
          <t>EDMS TRADING PLC</t>
        </is>
      </c>
    </row>
    <row r="821">
      <c r="H821" s="26" t="inlineStr">
        <is>
          <t>EFFANI ALPHA TRADING PLC</t>
        </is>
      </c>
    </row>
    <row r="822">
      <c r="H822" s="26" t="inlineStr">
        <is>
          <t>EFFI NORDIC SPECIALIZED RESTAURANT</t>
        </is>
      </c>
    </row>
    <row r="823">
      <c r="H823" s="26" t="inlineStr">
        <is>
          <t>EFFOY AYAT</t>
        </is>
      </c>
    </row>
    <row r="824">
      <c r="H824" s="26" t="inlineStr">
        <is>
          <t>EFFOY KAZANCHIS</t>
        </is>
      </c>
    </row>
    <row r="825">
      <c r="H825" s="26" t="inlineStr">
        <is>
          <t>EFFOY PIZZA PLC</t>
        </is>
      </c>
    </row>
    <row r="826">
      <c r="H826" s="26" t="inlineStr">
        <is>
          <t>EFTAH HOTEL</t>
        </is>
      </c>
    </row>
    <row r="827">
      <c r="H827" s="26" t="inlineStr">
        <is>
          <t>EHDA INTERNATIONAL TRADING PLC WE</t>
        </is>
      </c>
    </row>
    <row r="828">
      <c r="H828" s="26" t="inlineStr">
        <is>
          <t>EL BAS WATER PROOFING AND CHEMICAL SOLUTION PLC</t>
        </is>
      </c>
    </row>
    <row r="829">
      <c r="H829" s="26" t="inlineStr">
        <is>
          <t>ELA GENERAL TRADING PLC</t>
        </is>
      </c>
    </row>
    <row r="830">
      <c r="H830" s="26" t="inlineStr">
        <is>
          <t>ELDANA SUPERMARKET PLC</t>
        </is>
      </c>
    </row>
    <row r="831">
      <c r="H831" s="26" t="inlineStr">
        <is>
          <t>ELDANA TILAHUN KEBEDE</t>
        </is>
      </c>
    </row>
    <row r="832">
      <c r="H832" s="26" t="inlineStr">
        <is>
          <t>ELDASOL TRADING PLC</t>
        </is>
      </c>
    </row>
    <row r="833">
      <c r="H833" s="26" t="inlineStr">
        <is>
          <t>ELDRA ACADEMY PLC</t>
        </is>
      </c>
    </row>
    <row r="834">
      <c r="H834" s="26" t="inlineStr">
        <is>
          <t>ELENI DEGUNIGUS</t>
        </is>
      </c>
    </row>
    <row r="835">
      <c r="H835" s="26" t="inlineStr">
        <is>
          <t>ELFIGN CAFE AND RESTAURANT PLC</t>
        </is>
      </c>
    </row>
    <row r="836">
      <c r="H836" s="26" t="inlineStr">
        <is>
          <t>ELFORA AGRO INDUSTRY PLC</t>
        </is>
      </c>
    </row>
    <row r="837">
      <c r="H837" s="26" t="inlineStr">
        <is>
          <t>ELGEL TRADING PLC</t>
        </is>
      </c>
    </row>
    <row r="838">
      <c r="H838" s="26" t="inlineStr">
        <is>
          <t>ELIAB BUSINESS PLC</t>
        </is>
      </c>
    </row>
    <row r="839">
      <c r="H839" s="26" t="inlineStr">
        <is>
          <t>ELIANA MALL</t>
        </is>
      </c>
    </row>
    <row r="840">
      <c r="H840" s="26" t="inlineStr">
        <is>
          <t>ELIAS TEFERA WOLDETSADK(METAS HOTELS AND SPA</t>
        </is>
      </c>
    </row>
    <row r="841">
      <c r="H841" s="26" t="inlineStr">
        <is>
          <t>ELISABET NIGUSE MARSHA</t>
        </is>
      </c>
    </row>
    <row r="842">
      <c r="H842" s="26" t="inlineStr">
        <is>
          <t>ELITE ENT HEAD AND NECK SPECIALITY</t>
        </is>
      </c>
    </row>
    <row r="843">
      <c r="H843" s="26" t="inlineStr">
        <is>
          <t>ELIZABETH TESFAYE TADESSE</t>
        </is>
      </c>
    </row>
    <row r="844">
      <c r="H844" s="26" t="inlineStr">
        <is>
          <t>ELKAN X TRADING PLC</t>
        </is>
      </c>
    </row>
    <row r="845">
      <c r="H845" s="26" t="inlineStr">
        <is>
          <t>ELMOS HOTEL</t>
        </is>
      </c>
    </row>
    <row r="846">
      <c r="H846" s="26" t="inlineStr">
        <is>
          <t>ELS AGRI BIOTECH ETHIO PLC</t>
        </is>
      </c>
    </row>
    <row r="847">
      <c r="H847" s="26" t="inlineStr">
        <is>
          <t>ELSABETH ADEM ABDELA</t>
        </is>
      </c>
    </row>
    <row r="848">
      <c r="H848" s="26" t="inlineStr">
        <is>
          <t>ELUZAI HOTEL(TRIPLE-E HOTEL)</t>
        </is>
      </c>
    </row>
    <row r="849">
      <c r="H849" s="26" t="inlineStr">
        <is>
          <t>EMAWA SHOPING PLC</t>
        </is>
      </c>
    </row>
    <row r="850">
      <c r="H850" s="26" t="inlineStr">
        <is>
          <t>EMBILTA HOTEL</t>
        </is>
      </c>
    </row>
    <row r="851">
      <c r="H851" s="26" t="inlineStr">
        <is>
          <t>EMEBET KINDE ALEMU</t>
        </is>
      </c>
    </row>
    <row r="852">
      <c r="H852" s="26" t="inlineStr">
        <is>
          <t>EMENTE ENDASHAW WELDEHANA WOLAYITA SODO TOURIST HOTEL</t>
        </is>
      </c>
    </row>
    <row r="853">
      <c r="H853" s="26" t="inlineStr">
        <is>
          <t>EMMAD FURNISHED HOTEL</t>
        </is>
      </c>
    </row>
    <row r="854">
      <c r="H854" s="26" t="inlineStr">
        <is>
          <t>EMMAS INDUSTRIAL TRADING PLC</t>
        </is>
      </c>
    </row>
    <row r="855">
      <c r="H855" s="26" t="inlineStr">
        <is>
          <t>EMPIRE ADDIS INTERNATIONAL HOTEL</t>
        </is>
      </c>
    </row>
    <row r="856">
      <c r="H856" s="26" t="inlineStr">
        <is>
          <t>EMPORIO DEL AUTO PLC</t>
        </is>
      </c>
    </row>
    <row r="857">
      <c r="H857" s="26" t="inlineStr">
        <is>
          <t>EMRAN SEID DAMTEW</t>
        </is>
      </c>
    </row>
    <row r="858">
      <c r="H858" s="26" t="inlineStr">
        <is>
          <t>ENAT PHARMACY</t>
        </is>
      </c>
    </row>
    <row r="859">
      <c r="H859" s="26" t="inlineStr">
        <is>
          <t>ENATTHIUN SISAY AMARE</t>
        </is>
      </c>
    </row>
    <row r="860">
      <c r="H860" s="26" t="inlineStr">
        <is>
          <t>ENDALKACHEWU GEBERU DEBABA</t>
        </is>
      </c>
    </row>
    <row r="861">
      <c r="H861" s="26" t="inlineStr">
        <is>
          <t>ENEY INVESTMENT PLC</t>
        </is>
      </c>
    </row>
    <row r="862">
      <c r="H862" s="26" t="inlineStr">
        <is>
          <t>ENEYEW AND NEBEYU FAST FOOD PARTNERSHIP</t>
        </is>
      </c>
    </row>
    <row r="863">
      <c r="H863" s="26" t="inlineStr">
        <is>
          <t>ENKU KIFLEMARIAM WELDEYOHANNES</t>
        </is>
      </c>
    </row>
    <row r="864">
      <c r="H864" s="26" t="inlineStr">
        <is>
          <t>ENQUYE IMPORT EXPORT</t>
        </is>
      </c>
    </row>
    <row r="865">
      <c r="H865" s="26" t="inlineStr">
        <is>
          <t>ENTERTAINMENTS ALIANCE PLC</t>
        </is>
      </c>
    </row>
    <row r="866">
      <c r="H866" s="26" t="inlineStr">
        <is>
          <t>ENTOTO BETH ARTISION</t>
        </is>
      </c>
    </row>
    <row r="867">
      <c r="H867" s="26" t="inlineStr">
        <is>
          <t>ENTOTO POLYTECHNIC COLLAGE</t>
        </is>
      </c>
    </row>
    <row r="868">
      <c r="H868" s="26" t="inlineStr">
        <is>
          <t>EPHLA TRADING PLC</t>
        </is>
      </c>
    </row>
    <row r="869">
      <c r="H869" s="26" t="inlineStr">
        <is>
          <t>EPHREM TESFAYOHANNES MESFIN</t>
        </is>
      </c>
    </row>
    <row r="870">
      <c r="H870" s="26" t="inlineStr">
        <is>
          <t>EPTISA SERVICIOS DE INGENERIA SL</t>
        </is>
      </c>
    </row>
    <row r="871">
      <c r="H871" s="26" t="inlineStr">
        <is>
          <t>ERANGO TIRASO</t>
        </is>
      </c>
    </row>
    <row r="872">
      <c r="H872" s="26" t="inlineStr">
        <is>
          <t>ERCS TRAINING INSTITUTE</t>
        </is>
      </c>
    </row>
    <row r="873">
      <c r="H873" s="26" t="inlineStr">
        <is>
          <t>ERKIBO BACHORE ILTIRO</t>
        </is>
      </c>
    </row>
    <row r="874">
      <c r="H874" s="26" t="inlineStr">
        <is>
          <t>ERMIAS DAWIT ABEBE</t>
        </is>
      </c>
    </row>
    <row r="875">
      <c r="H875" s="26" t="inlineStr">
        <is>
          <t>ERMIAS MENGISTU LEULSEGED ADDISALEM LUXURY APARTMENT</t>
        </is>
      </c>
    </row>
    <row r="876">
      <c r="H876" s="26" t="inlineStr">
        <is>
          <t>ERMIAS YOHANNES GETAHUN</t>
        </is>
      </c>
    </row>
    <row r="877">
      <c r="H877" s="26" t="inlineStr">
        <is>
          <t>ERMIYAS CHANYALE AGIZEW</t>
        </is>
      </c>
    </row>
    <row r="878">
      <c r="H878" s="26" t="inlineStr">
        <is>
          <t>ERMIYAS TILAHUN SIMA</t>
        </is>
      </c>
    </row>
    <row r="879">
      <c r="H879" s="26" t="inlineStr">
        <is>
          <t>ERNA GNERAL TRADING PLC</t>
        </is>
      </c>
    </row>
    <row r="880">
      <c r="H880" s="26" t="inlineStr">
        <is>
          <t>EROSHAKE JUICE</t>
        </is>
      </c>
    </row>
    <row r="881">
      <c r="H881" s="26" t="inlineStr">
        <is>
          <t>ERQ MEAD MEADIA AND PSYCHOLOGICAL SERVICES PLC</t>
        </is>
      </c>
    </row>
    <row r="882">
      <c r="H882" s="26" t="inlineStr">
        <is>
          <t>ESAYAS BERHE ABAY</t>
        </is>
      </c>
    </row>
    <row r="883">
      <c r="H883" s="26" t="inlineStr">
        <is>
          <t>ESDROS CONSTRUCTION TRADE AND INDUSTRY SHARE COMPANY</t>
        </is>
      </c>
    </row>
    <row r="884">
      <c r="H884" s="26" t="inlineStr">
        <is>
          <t>ESEHAM TRADING PLC</t>
        </is>
      </c>
    </row>
    <row r="885">
      <c r="H885" s="26" t="inlineStr">
        <is>
          <t>ESETCO TRADING PLC</t>
        </is>
      </c>
    </row>
    <row r="886">
      <c r="H886" s="26" t="inlineStr">
        <is>
          <t>ESHET BREAD AND PASTERY MANUFACTURING PLC</t>
        </is>
      </c>
    </row>
    <row r="887">
      <c r="H887" s="26" t="inlineStr">
        <is>
          <t>ESHETE KASAYE AMBERO</t>
        </is>
      </c>
    </row>
    <row r="888">
      <c r="H888" s="26" t="inlineStr">
        <is>
          <t>ESHETU MEKONEN</t>
        </is>
      </c>
    </row>
    <row r="889">
      <c r="H889" s="26" t="inlineStr">
        <is>
          <t>ESKEDAR ALEMAYEHU MOLLA</t>
        </is>
      </c>
    </row>
    <row r="890">
      <c r="H890" s="26" t="inlineStr">
        <is>
          <t>ESKINDER WASSIE MESSELE</t>
        </is>
      </c>
    </row>
    <row r="891">
      <c r="H891" s="26" t="inlineStr">
        <is>
          <t>ESLOI HOUSE AND OFFICE EQUIPMENT IMPORTER</t>
        </is>
      </c>
    </row>
    <row r="892">
      <c r="H892" s="26" t="inlineStr">
        <is>
          <t>ESMAEL JIHADI MONAMMED</t>
        </is>
      </c>
    </row>
    <row r="893">
      <c r="H893" s="26" t="inlineStr">
        <is>
          <t>ESMELALEM ZEWDIE MERGIA</t>
        </is>
      </c>
    </row>
    <row r="894">
      <c r="H894" s="26" t="inlineStr">
        <is>
          <t>ESTIFANOS GEBRU OBSE HOTEL</t>
        </is>
      </c>
    </row>
    <row r="895">
      <c r="H895" s="26" t="inlineStr">
        <is>
          <t>ESUBALEW NAHUSENAY HIRUY</t>
        </is>
      </c>
    </row>
    <row r="896">
      <c r="H896" s="26" t="inlineStr">
        <is>
          <t>ET GENERAL TRADING ONE MEMBERS</t>
        </is>
      </c>
    </row>
    <row r="897">
      <c r="H897" s="26" t="inlineStr">
        <is>
          <t>ETAS TRADING PLC</t>
        </is>
      </c>
    </row>
    <row r="898">
      <c r="H898" s="26" t="inlineStr">
        <is>
          <t>ETETE BUSINESS GROUP PLC</t>
        </is>
      </c>
    </row>
    <row r="899">
      <c r="H899" s="26" t="inlineStr">
        <is>
          <t>ETETU ABUSHO TESEMA</t>
        </is>
      </c>
    </row>
    <row r="900">
      <c r="H900" s="26" t="inlineStr">
        <is>
          <t>ETHIO AMARK REALESTATE PLC</t>
        </is>
      </c>
    </row>
    <row r="901">
      <c r="H901" s="26" t="inlineStr">
        <is>
          <t>ETHIO AREBICA TRADING PLC</t>
        </is>
      </c>
    </row>
    <row r="902">
      <c r="H902" s="26" t="inlineStr">
        <is>
          <t>ETHIO GENERAL HOSPITAL</t>
        </is>
      </c>
    </row>
    <row r="903">
      <c r="H903" s="26" t="inlineStr">
        <is>
          <t>ETHIO LINE TOUR TRAVEL AGENCY PLC</t>
        </is>
      </c>
    </row>
    <row r="904">
      <c r="H904" s="26" t="inlineStr">
        <is>
          <t>ETHIO MEAT AND VEGETABLE EXPORT PLC</t>
        </is>
      </c>
    </row>
    <row r="905">
      <c r="H905" s="26" t="inlineStr">
        <is>
          <t>ETHIO MEDICAL PHARMACEUTICAL</t>
        </is>
      </c>
    </row>
    <row r="906">
      <c r="H906" s="26" t="inlineStr">
        <is>
          <t>ETHIO RESORT PLC(ADULALA RESORT)</t>
        </is>
      </c>
    </row>
    <row r="907">
      <c r="H907" s="26" t="inlineStr">
        <is>
          <t>ETHIO SUDAN TEBIB HOSPITAL PLC</t>
        </is>
      </c>
    </row>
    <row r="908">
      <c r="H908" s="26" t="inlineStr">
        <is>
          <t>ETHIO SUPERMARKET</t>
        </is>
      </c>
    </row>
    <row r="909">
      <c r="H909" s="26" t="inlineStr">
        <is>
          <t>ETHIO-ARAB TOUR &amp; TRAVEL AGENCY PLC</t>
        </is>
      </c>
    </row>
    <row r="910">
      <c r="H910" s="26" t="inlineStr">
        <is>
          <t>ETHIOPIA EDUCATION INITIATIVES INC ETHIOPIA BRANCH</t>
        </is>
      </c>
    </row>
    <row r="911">
      <c r="H911" s="26" t="inlineStr">
        <is>
          <t>ETHIOPIA MEKONNEN</t>
        </is>
      </c>
    </row>
    <row r="912">
      <c r="H912" s="26" t="inlineStr">
        <is>
          <t>ETHIOPIA WOMENS FEDERATION JAMO MODERN MARKET SENTE PLC</t>
        </is>
      </c>
    </row>
    <row r="913">
      <c r="H913" s="26" t="inlineStr">
        <is>
          <t>ETHIOPIAN CHAMBER OF COMMERCE SECTORIAL ASSOCIATION</t>
        </is>
      </c>
    </row>
    <row r="914">
      <c r="H914" s="26" t="inlineStr">
        <is>
          <t>ETHIOPIAN CONSUMERS COOPERATIVE SOCIETY LTD</t>
        </is>
      </c>
    </row>
    <row r="915">
      <c r="H915" s="26" t="inlineStr">
        <is>
          <t>ETHIOPIAN NATIONAL THEATRE</t>
        </is>
      </c>
    </row>
    <row r="916">
      <c r="H916" s="26" t="inlineStr">
        <is>
          <t>ETHIOPIAN PHARMACEUTICALS MANUFACTURING S.C</t>
        </is>
      </c>
    </row>
    <row r="917">
      <c r="H917" s="26" t="inlineStr">
        <is>
          <t>ETHIOPIAN POSTAL SERVICE ENTERPRISE MAIN SERVICE</t>
        </is>
      </c>
    </row>
    <row r="918">
      <c r="H918" s="26" t="inlineStr">
        <is>
          <t>ETHIOPIAN TOURIST TRADING (ETTE)</t>
        </is>
      </c>
    </row>
    <row r="919">
      <c r="H919" s="26" t="inlineStr">
        <is>
          <t>ETHIOPIAN TOURIST TRADING ENTERPRISE</t>
        </is>
      </c>
    </row>
    <row r="920">
      <c r="H920" s="26" t="inlineStr">
        <is>
          <t>ETHIOPIAN TRADE CONTACT PLC</t>
        </is>
      </c>
    </row>
    <row r="921">
      <c r="H921" s="26" t="inlineStr">
        <is>
          <t>ETHIORITE PHARMA PLC</t>
        </is>
      </c>
    </row>
    <row r="922">
      <c r="H922" s="26" t="inlineStr">
        <is>
          <t>ETON TRADING PLC(ETON FOODS AND PASTRY)</t>
        </is>
      </c>
    </row>
    <row r="923">
      <c r="H923" s="26" t="inlineStr">
        <is>
          <t>ETSEGENET DERESE ASFAW</t>
        </is>
      </c>
    </row>
    <row r="924">
      <c r="H924" s="26" t="inlineStr">
        <is>
          <t>ETT TRANSPORT</t>
        </is>
      </c>
    </row>
    <row r="925">
      <c r="H925" s="26" t="inlineStr">
        <is>
          <t>ETTE DF</t>
        </is>
      </c>
    </row>
    <row r="926">
      <c r="H926" s="26" t="inlineStr">
        <is>
          <t>ETTE DUTY PAID</t>
        </is>
      </c>
    </row>
    <row r="927">
      <c r="H927" s="26" t="inlineStr">
        <is>
          <t>EUAEL GIRMA HAILE(DLGA LEATHER)</t>
        </is>
      </c>
    </row>
    <row r="928">
      <c r="H928" s="26" t="inlineStr">
        <is>
          <t>EURO SAY TRADE</t>
        </is>
      </c>
    </row>
    <row r="929">
      <c r="H929" s="26" t="inlineStr">
        <is>
          <t>EVERSPEED TRANSIT AND ONE MEMBER PLC</t>
        </is>
      </c>
    </row>
    <row r="930">
      <c r="H930" s="26" t="inlineStr">
        <is>
          <t>EXCEL COMMERCE PLC</t>
        </is>
      </c>
    </row>
    <row r="931">
      <c r="H931" s="26" t="inlineStr">
        <is>
          <t>EXCELLENCE COFFEE ROSTER ONE MEMBER PLC</t>
        </is>
      </c>
    </row>
    <row r="932">
      <c r="H932" s="26" t="inlineStr">
        <is>
          <t>EXCELLENCE CONSTRUCTION SHARE COMPANY</t>
        </is>
      </c>
    </row>
    <row r="933">
      <c r="H933" s="26" t="inlineStr">
        <is>
          <t>EXECUTIVE HOTEL</t>
        </is>
      </c>
    </row>
    <row r="934">
      <c r="H934" s="26" t="inlineStr">
        <is>
          <t>EXHIBITION CENTER AND MARKET DEVELOPMENET AC</t>
        </is>
      </c>
    </row>
    <row r="935">
      <c r="H935" s="26" t="inlineStr">
        <is>
          <t>EXHIBITION CENTER AND MARKET DEVELOPMENET ENTERPRISE</t>
        </is>
      </c>
    </row>
    <row r="936">
      <c r="H936" s="26" t="inlineStr">
        <is>
          <t>EXTREAM HOTEL PLC</t>
        </is>
      </c>
    </row>
    <row r="937">
      <c r="H937" s="26" t="inlineStr">
        <is>
          <t>EXTREME ENGINEERING PLC</t>
        </is>
      </c>
    </row>
    <row r="938">
      <c r="H938" s="26" t="inlineStr">
        <is>
          <t>EYASSU NEGA GEBRU</t>
        </is>
      </c>
    </row>
    <row r="939">
      <c r="H939" s="26" t="inlineStr">
        <is>
          <t>EYASU DRUGS AND MEDICAL SUPPLIES IMPORTER</t>
        </is>
      </c>
    </row>
    <row r="940">
      <c r="H940" s="26" t="inlineStr">
        <is>
          <t>EYE HEALTH EXPERTS ASSOCIATES PLC</t>
        </is>
      </c>
    </row>
    <row r="941">
      <c r="H941" s="26" t="inlineStr">
        <is>
          <t>EYERUS HAILU GEBREEGZIABHER</t>
        </is>
      </c>
    </row>
    <row r="942">
      <c r="H942" s="26" t="inlineStr">
        <is>
          <t>EYERUS ZAWUDU GEBRESILASSIE</t>
        </is>
      </c>
    </row>
    <row r="943">
      <c r="H943" s="26" t="inlineStr">
        <is>
          <t>EYERUSALEM MELAK DEMELASH</t>
        </is>
      </c>
    </row>
    <row r="944">
      <c r="H944" s="26" t="inlineStr">
        <is>
          <t>EYERUSALEM YESHANEW BEKELE</t>
        </is>
      </c>
    </row>
    <row r="945">
      <c r="H945" s="26" t="inlineStr">
        <is>
          <t>EYOB ALEMU MAMO</t>
        </is>
      </c>
    </row>
    <row r="946">
      <c r="H946" s="26" t="inlineStr">
        <is>
          <t>EYOB LEMMA IMPORTER AND GENERAL INSURANCE AGENCY</t>
        </is>
      </c>
    </row>
    <row r="947">
      <c r="H947" s="26" t="inlineStr">
        <is>
          <t>EYOBED TIBEBU LISANEWORK</t>
        </is>
      </c>
    </row>
    <row r="948">
      <c r="H948" s="26" t="inlineStr">
        <is>
          <t>EYODANA TRADING PLC</t>
        </is>
      </c>
    </row>
    <row r="949">
      <c r="H949" s="26" t="inlineStr">
        <is>
          <t>EYOEL ASHAGRE ABEBE</t>
        </is>
      </c>
    </row>
    <row r="950">
      <c r="H950" s="26" t="inlineStr">
        <is>
          <t>EYOHA TRADING PLC</t>
        </is>
      </c>
    </row>
    <row r="951">
      <c r="H951" s="26" t="inlineStr">
        <is>
          <t>EYOSIYAS ABERA KELEMU</t>
        </is>
      </c>
    </row>
    <row r="952">
      <c r="H952" s="26" t="inlineStr">
        <is>
          <t>EYUEL NIGUSSIE CONSTRUCTION MATERIAL TRADE</t>
        </is>
      </c>
    </row>
    <row r="953">
      <c r="H953" s="26" t="inlineStr">
        <is>
          <t>EYUEL SHIFERAW WOYESA</t>
        </is>
      </c>
    </row>
    <row r="954">
      <c r="H954" s="26" t="inlineStr">
        <is>
          <t>EYUFREE TRADING PLC</t>
        </is>
      </c>
    </row>
    <row r="955">
      <c r="H955" s="26" t="inlineStr">
        <is>
          <t>EZEDIN HUSSEN MOHAMMED</t>
        </is>
      </c>
    </row>
    <row r="956">
      <c r="H956" s="26" t="inlineStr">
        <is>
          <t>F AND B VENTURES BUSINESS PLC</t>
        </is>
      </c>
    </row>
    <row r="957">
      <c r="H957" s="26" t="inlineStr">
        <is>
          <t>FAHMI ABDULKARM IBRAHIM</t>
        </is>
      </c>
    </row>
    <row r="958">
      <c r="H958" s="26" t="inlineStr">
        <is>
          <t>FALCON PRINTING ENTERPRISE PLC</t>
        </is>
      </c>
    </row>
    <row r="959">
      <c r="H959" s="26" t="inlineStr">
        <is>
          <t>FAM MED TRADING PLC</t>
        </is>
      </c>
    </row>
    <row r="960">
      <c r="H960" s="26" t="inlineStr">
        <is>
          <t>FAME IMPEX TRADING PLC</t>
        </is>
      </c>
    </row>
    <row r="961">
      <c r="H961" s="26" t="inlineStr">
        <is>
          <t>FAMILY GUEST HOUSE(GEBEYEHU SHENKUTE HAILE)</t>
        </is>
      </c>
    </row>
    <row r="962">
      <c r="H962" s="26" t="inlineStr">
        <is>
          <t>FAMILY MODERN TRADING PLC</t>
        </is>
      </c>
    </row>
    <row r="963">
      <c r="H963" s="26" t="inlineStr">
        <is>
          <t>FAMU LEI HOUEHOLDING MANUFACTURING PLC</t>
        </is>
      </c>
    </row>
    <row r="964">
      <c r="H964" s="26" t="inlineStr">
        <is>
          <t>FANA CAFE</t>
        </is>
      </c>
    </row>
    <row r="965">
      <c r="H965" s="26" t="inlineStr">
        <is>
          <t>FANA PHARMACY</t>
        </is>
      </c>
    </row>
    <row r="966">
      <c r="H966" s="26" t="inlineStr">
        <is>
          <t>FANOSE COFFEE TRADING PLC</t>
        </is>
      </c>
    </row>
    <row r="967">
      <c r="H967" s="26" t="inlineStr">
        <is>
          <t>FANTU SUPERMARKET</t>
        </is>
      </c>
    </row>
    <row r="968">
      <c r="H968" s="26" t="inlineStr">
        <is>
          <t>FASIKA BAR AND RESTAURANT</t>
        </is>
      </c>
    </row>
    <row r="969">
      <c r="H969" s="26" t="inlineStr">
        <is>
          <t>FASIL WAGAYE ASMAMAW</t>
        </is>
      </c>
    </row>
    <row r="970">
      <c r="H970" s="26" t="inlineStr">
        <is>
          <t>FASSIL TESSEMA WOSSEN</t>
        </is>
      </c>
    </row>
    <row r="971">
      <c r="H971" s="26" t="inlineStr">
        <is>
          <t>FAYA SERA PLC</t>
        </is>
      </c>
    </row>
    <row r="972">
      <c r="H972" s="26" t="inlineStr">
        <is>
          <t>FEAS TRADING PLC</t>
        </is>
      </c>
    </row>
    <row r="973">
      <c r="H973" s="26" t="inlineStr">
        <is>
          <t>FELEKECH TADESSE WORKE(MAME INT HOTEL)</t>
        </is>
      </c>
    </row>
    <row r="974">
      <c r="H974" s="26" t="inlineStr">
        <is>
          <t>FELGRO AGRICULTURAL INPUTS IMPORT PLC</t>
        </is>
      </c>
    </row>
    <row r="975">
      <c r="H975" s="26" t="inlineStr">
        <is>
          <t>FENG XIYUAN</t>
        </is>
      </c>
    </row>
    <row r="976">
      <c r="H976" s="26" t="inlineStr">
        <is>
          <t>FENGWU YANG</t>
        </is>
      </c>
    </row>
    <row r="977">
      <c r="H977" s="26" t="inlineStr">
        <is>
          <t>FEREDE BIREDA ATFERDE</t>
        </is>
      </c>
    </row>
    <row r="978">
      <c r="H978" s="26" t="inlineStr">
        <is>
          <t>FERESULA TRADING PLC</t>
        </is>
      </c>
    </row>
    <row r="979">
      <c r="H979" s="26" t="inlineStr">
        <is>
          <t>FERIDA YESUF</t>
        </is>
      </c>
    </row>
    <row r="980">
      <c r="H980" s="26" t="inlineStr">
        <is>
          <t>FESEHA TSEHAYE GIDEY</t>
        </is>
      </c>
    </row>
    <row r="981">
      <c r="H981" s="26" t="inlineStr">
        <is>
          <t>FETAN ELECTRONICS</t>
        </is>
      </c>
    </row>
    <row r="982">
      <c r="H982" s="26" t="inlineStr">
        <is>
          <t>FETO PLUS PHARMACY</t>
        </is>
      </c>
    </row>
    <row r="983">
      <c r="H983" s="26" t="inlineStr">
        <is>
          <t>FEVEN GIDEY ALEMSEGED</t>
        </is>
      </c>
    </row>
    <row r="984">
      <c r="H984" s="26" t="inlineStr">
        <is>
          <t>FEVEN TENAW ALEMAYEHU</t>
        </is>
      </c>
    </row>
    <row r="985">
      <c r="H985" s="26" t="inlineStr">
        <is>
          <t>FICOM BUSINESS PLC</t>
        </is>
      </c>
    </row>
    <row r="986">
      <c r="H986" s="26" t="inlineStr">
        <is>
          <t>FIDEL PLC</t>
        </is>
      </c>
    </row>
    <row r="987">
      <c r="H987" s="26" t="inlineStr">
        <is>
          <t>FIDEL SUPERMARKET</t>
        </is>
      </c>
    </row>
    <row r="988">
      <c r="H988" s="26" t="inlineStr">
        <is>
          <t>FIDELAT LOUNGE RESTAURANT AND CAFE PLC</t>
        </is>
      </c>
    </row>
    <row r="989">
      <c r="H989" s="26" t="inlineStr">
        <is>
          <t>FIHAS INTER 2018</t>
        </is>
      </c>
    </row>
    <row r="990">
      <c r="H990" s="26" t="inlineStr">
        <is>
          <t>FIKADU ASSORE BUTAJIRA</t>
        </is>
      </c>
    </row>
    <row r="991">
      <c r="H991" s="26" t="inlineStr">
        <is>
          <t>FIKADU ASSORE HAWASSA</t>
        </is>
      </c>
    </row>
    <row r="992">
      <c r="H992" s="26" t="inlineStr">
        <is>
          <t>FIKADU BOGALE WERKE</t>
        </is>
      </c>
    </row>
    <row r="993">
      <c r="H993" s="26" t="inlineStr">
        <is>
          <t>FIKADU ENGDAWORK MANDEFRO</t>
        </is>
      </c>
    </row>
    <row r="994">
      <c r="H994" s="26" t="inlineStr">
        <is>
          <t>FIKRALEM MISGANAW SIMEGN</t>
        </is>
      </c>
    </row>
    <row r="995">
      <c r="H995" s="26" t="inlineStr">
        <is>
          <t>FIKRE HABTE TRADITIONAL RESTAURANT</t>
        </is>
      </c>
    </row>
    <row r="996">
      <c r="H996" s="26" t="inlineStr">
        <is>
          <t>FIKRET MULUALEM FEREDE</t>
        </is>
      </c>
    </row>
    <row r="997">
      <c r="H997" s="26" t="inlineStr">
        <is>
          <t>FIKRU ATLEA TAFESE</t>
        </is>
      </c>
    </row>
    <row r="998">
      <c r="H998" s="26" t="inlineStr">
        <is>
          <t>FILIMON ALAY MARIYE</t>
        </is>
      </c>
    </row>
    <row r="999">
      <c r="H999" s="26" t="inlineStr">
        <is>
          <t>FILIMON AND FRIENDS COFFEE</t>
        </is>
      </c>
    </row>
    <row r="1000">
      <c r="H1000" s="26" t="inlineStr">
        <is>
          <t>FILIMON GOITOM SIYUM</t>
        </is>
      </c>
    </row>
    <row r="1001">
      <c r="H1001" s="26" t="inlineStr">
        <is>
          <t>FILON FAMILY TRADING PLC</t>
        </is>
      </c>
    </row>
    <row r="1002">
      <c r="H1002" s="26" t="inlineStr">
        <is>
          <t>FINMAR TREADING PLC</t>
        </is>
      </c>
    </row>
    <row r="1003">
      <c r="H1003" s="26" t="inlineStr">
        <is>
          <t>FIREHIWOT BELAY ZELKE</t>
        </is>
      </c>
    </row>
    <row r="1004">
      <c r="H1004" s="26" t="inlineStr">
        <is>
          <t>FIREHIYOT MAARUU TASFAYE</t>
        </is>
      </c>
    </row>
    <row r="1005">
      <c r="H1005" s="26" t="inlineStr">
        <is>
          <t>FIREW DEGU</t>
        </is>
      </c>
    </row>
    <row r="1006">
      <c r="H1006" s="26" t="inlineStr">
        <is>
          <t>FIREW DEGU BAYEHE</t>
        </is>
      </c>
    </row>
    <row r="1007">
      <c r="H1007" s="26" t="inlineStr">
        <is>
          <t>FIRST CUTS PLC</t>
        </is>
      </c>
    </row>
    <row r="1008">
      <c r="H1008" s="26" t="inlineStr">
        <is>
          <t>FIRST EQUITY INVESTMENT ONE MEMBER PLC</t>
        </is>
      </c>
    </row>
    <row r="1009">
      <c r="H1009" s="26" t="inlineStr">
        <is>
          <t>FIRST GENERAL TRADING PLC</t>
        </is>
      </c>
    </row>
    <row r="1010">
      <c r="H1010" s="26" t="inlineStr">
        <is>
          <t>FISIHA HAILEMICHALE YIHDEGO</t>
        </is>
      </c>
    </row>
    <row r="1011">
      <c r="H1011" s="26" t="inlineStr">
        <is>
          <t>FITIH WOLDESENBET ZEBERGA</t>
        </is>
      </c>
    </row>
    <row r="1012">
      <c r="H1012" s="26" t="inlineStr">
        <is>
          <t>FITSUM ASFAW TEWOLDE</t>
        </is>
      </c>
    </row>
    <row r="1013">
      <c r="H1013" s="26" t="inlineStr">
        <is>
          <t>FITSUM HAILE KASAYE</t>
        </is>
      </c>
    </row>
    <row r="1014">
      <c r="H1014" s="26" t="inlineStr">
        <is>
          <t>FITSUM PHARMACY</t>
        </is>
      </c>
    </row>
    <row r="1015">
      <c r="H1015" s="26" t="inlineStr">
        <is>
          <t>FIVE FAMILY TREADING</t>
        </is>
      </c>
    </row>
    <row r="1016">
      <c r="H1016" s="26" t="inlineStr">
        <is>
          <t>FIVE P BEER DISTRIBUTER</t>
        </is>
      </c>
    </row>
    <row r="1017">
      <c r="H1017" s="26" t="inlineStr">
        <is>
          <t>FIXTOP TRADING PLC</t>
        </is>
      </c>
    </row>
    <row r="1018">
      <c r="H1018" s="26" t="inlineStr">
        <is>
          <t>FKIRU ALEMU NIGBESH</t>
        </is>
      </c>
    </row>
    <row r="1019">
      <c r="H1019" s="26" t="inlineStr">
        <is>
          <t>FLAME TRADING PLC</t>
        </is>
      </c>
    </row>
    <row r="1020">
      <c r="H1020" s="26" t="inlineStr">
        <is>
          <t>FLAMINGO BAR AND RESTAURANT PLC</t>
        </is>
      </c>
    </row>
    <row r="1021">
      <c r="H1021" s="26" t="inlineStr">
        <is>
          <t>FLINSTONE</t>
        </is>
      </c>
    </row>
    <row r="1022">
      <c r="H1022" s="26" t="inlineStr">
        <is>
          <t>FLINT FOOD COURT PLC</t>
        </is>
      </c>
    </row>
    <row r="1023">
      <c r="H1023" s="26" t="inlineStr">
        <is>
          <t>FLIPPER INTERNATIONAL SCHOOL PLC</t>
        </is>
      </c>
    </row>
    <row r="1024">
      <c r="H1024" s="26" t="inlineStr">
        <is>
          <t>FLORIDA INTERNATIONAL HOTEL</t>
        </is>
      </c>
    </row>
    <row r="1025">
      <c r="H1025" s="26" t="inlineStr">
        <is>
          <t>FLOURISH HOTEL APARTMENT</t>
        </is>
      </c>
    </row>
    <row r="1026">
      <c r="H1026" s="26" t="inlineStr">
        <is>
          <t>FLOURISH TRADING PLC</t>
        </is>
      </c>
    </row>
    <row r="1027">
      <c r="H1027" s="26" t="inlineStr">
        <is>
          <t>FLOWERAMA PRIVATE LIMITED COMPANY</t>
        </is>
      </c>
    </row>
    <row r="1028">
      <c r="H1028" s="26" t="inlineStr">
        <is>
          <t>FLW ROASTERES PLC</t>
        </is>
      </c>
    </row>
    <row r="1029">
      <c r="H1029" s="26" t="inlineStr">
        <is>
          <t>FLYING STAR CAFE AND RESTAURANT</t>
        </is>
      </c>
    </row>
    <row r="1030">
      <c r="H1030" s="26" t="inlineStr">
        <is>
          <t>FMCG TEST</t>
        </is>
      </c>
    </row>
    <row r="1031">
      <c r="H1031" s="26" t="inlineStr">
        <is>
          <t>FMCG TEST 2</t>
        </is>
      </c>
    </row>
    <row r="1032">
      <c r="H1032" s="26" t="inlineStr">
        <is>
          <t>FONA HOTEL PLC</t>
        </is>
      </c>
    </row>
    <row r="1033">
      <c r="H1033" s="26" t="inlineStr">
        <is>
          <t>FOOD FAMILY RESTAURANT PLC</t>
        </is>
      </c>
    </row>
    <row r="1034">
      <c r="H1034" s="26" t="inlineStr">
        <is>
          <t>FOOD SERVER TEST</t>
        </is>
      </c>
    </row>
    <row r="1035">
      <c r="H1035" s="26" t="inlineStr">
        <is>
          <t>FOOD TEST 2</t>
        </is>
      </c>
    </row>
    <row r="1036">
      <c r="H1036" s="26" t="inlineStr">
        <is>
          <t>FOOD TEST 4</t>
        </is>
      </c>
    </row>
    <row r="1037">
      <c r="H1037" s="26" t="inlineStr">
        <is>
          <t>FORTRESS TRADING PLC</t>
        </is>
      </c>
    </row>
    <row r="1038">
      <c r="H1038" s="26" t="inlineStr">
        <is>
          <t>FOUNTAIN HOTEL AND SPA</t>
        </is>
      </c>
    </row>
    <row r="1039">
      <c r="H1039" s="26" t="inlineStr">
        <is>
          <t>FOUR ABIYAM TRADING PLC</t>
        </is>
      </c>
    </row>
    <row r="1040">
      <c r="H1040" s="26" t="inlineStr">
        <is>
          <t>FOUR GUYS TRADING PLC</t>
        </is>
      </c>
    </row>
    <row r="1041">
      <c r="H1041" s="26" t="inlineStr">
        <is>
          <t>FOUR TWO BUSINESS</t>
        </is>
      </c>
    </row>
    <row r="1042">
      <c r="H1042" s="26" t="inlineStr">
        <is>
          <t>FOZIYA KELIL</t>
        </is>
      </c>
    </row>
    <row r="1043">
      <c r="H1043" s="26" t="inlineStr">
        <is>
          <t>FRAISIER CAFÉ AND RESTAURANT PLC</t>
        </is>
      </c>
    </row>
    <row r="1044">
      <c r="H1044" s="26" t="inlineStr">
        <is>
          <t>FRANKUN ET AUTOMOTIVE ENGINEERING PLC</t>
        </is>
      </c>
    </row>
    <row r="1045">
      <c r="H1045" s="26" t="inlineStr">
        <is>
          <t>FREIGHTERS INTERNATIONAL(PABOMI) PLC</t>
        </is>
      </c>
    </row>
    <row r="1046">
      <c r="H1046" s="26" t="inlineStr">
        <is>
          <t>FRESH AGRO INDUSTRY PLC</t>
        </is>
      </c>
    </row>
    <row r="1047">
      <c r="H1047" s="26" t="inlineStr">
        <is>
          <t>FREW ANDU ZERIHUN</t>
        </is>
      </c>
    </row>
    <row r="1048">
      <c r="H1048" s="26" t="inlineStr">
        <is>
          <t>FREWEYNI BAHRE WEKU</t>
        </is>
      </c>
    </row>
    <row r="1049">
      <c r="H1049" s="26" t="inlineStr">
        <is>
          <t>FRIENDSHIP BG</t>
        </is>
      </c>
    </row>
    <row r="1050">
      <c r="H1050" s="26" t="inlineStr">
        <is>
          <t>FRIENDSHIP BUSINESS GROUP PLC</t>
        </is>
      </c>
    </row>
    <row r="1051">
      <c r="H1051" s="26" t="inlineStr">
        <is>
          <t>FRIENDSHIP HOTEL</t>
        </is>
      </c>
    </row>
    <row r="1052">
      <c r="H1052" s="26" t="inlineStr">
        <is>
          <t>FSCSPCO KIS</t>
        </is>
      </c>
    </row>
    <row r="1053">
      <c r="H1053" s="26" t="inlineStr">
        <is>
          <t>FUNZI TRADING PLC</t>
        </is>
      </c>
    </row>
    <row r="1054">
      <c r="H1054" s="26" t="inlineStr">
        <is>
          <t>FURNISHED DIPLOMAT REAL ESTATE PLC</t>
        </is>
      </c>
    </row>
    <row r="1055">
      <c r="H1055" s="26" t="inlineStr">
        <is>
          <t>FUTURE HOPES KINDERGARTEN PLC</t>
        </is>
      </c>
    </row>
    <row r="1056">
      <c r="H1056" s="26" t="inlineStr">
        <is>
          <t>FUTURE TALENT ACADEMY SC</t>
        </is>
      </c>
    </row>
    <row r="1057">
      <c r="H1057" s="26" t="inlineStr">
        <is>
          <t>G HEE PLC</t>
        </is>
      </c>
    </row>
    <row r="1058">
      <c r="H1058" s="26" t="inlineStr">
        <is>
          <t>G R T H TRADING PLC</t>
        </is>
      </c>
    </row>
    <row r="1059">
      <c r="H1059" s="26" t="inlineStr">
        <is>
          <t>G RY B TRADING PLC</t>
        </is>
      </c>
    </row>
    <row r="1060">
      <c r="H1060" s="26" t="inlineStr">
        <is>
          <t>G S F TRADING PLC 2020 HOTEL</t>
        </is>
      </c>
    </row>
    <row r="1061">
      <c r="H1061" s="26" t="inlineStr">
        <is>
          <t>G-MED TRADING PLC</t>
        </is>
      </c>
    </row>
    <row r="1062">
      <c r="H1062" s="26" t="inlineStr">
        <is>
          <t>G/GIORGES H/MICHAEL YIDEGO</t>
        </is>
      </c>
    </row>
    <row r="1063">
      <c r="H1063" s="26" t="inlineStr">
        <is>
          <t>GABANA RETAIL PLC</t>
        </is>
      </c>
    </row>
    <row r="1064">
      <c r="H1064" s="26" t="inlineStr">
        <is>
          <t>GABICON TRADING PLC</t>
        </is>
      </c>
    </row>
    <row r="1065">
      <c r="H1065" s="26" t="inlineStr">
        <is>
          <t>GALLICA FLOWERS PLC</t>
        </is>
      </c>
    </row>
    <row r="1066">
      <c r="H1066" s="26" t="inlineStr">
        <is>
          <t>GAMKU PHARMACEUTICALS</t>
        </is>
      </c>
    </row>
    <row r="1067">
      <c r="H1067" s="26" t="inlineStr">
        <is>
          <t>GAOMI HANGJUN HARDWARE PRODUCTS CO LTD ETHIOPIA BRA</t>
        </is>
      </c>
    </row>
    <row r="1068">
      <c r="H1068" s="26" t="inlineStr">
        <is>
          <t>GARA BERU AGRO INDUSTRY PLC</t>
        </is>
      </c>
    </row>
    <row r="1069">
      <c r="H1069" s="26" t="inlineStr">
        <is>
          <t>GARA MART</t>
        </is>
      </c>
    </row>
    <row r="1070">
      <c r="H1070" s="26" t="inlineStr">
        <is>
          <t>GARAD METALES ENGINEERING PLC</t>
        </is>
      </c>
    </row>
    <row r="1071">
      <c r="H1071" s="26" t="inlineStr">
        <is>
          <t>GARAD PLC</t>
        </is>
      </c>
    </row>
    <row r="1072">
      <c r="H1072" s="26" t="inlineStr">
        <is>
          <t>GARAD SUPERMARKET PLC</t>
        </is>
      </c>
    </row>
    <row r="1073">
      <c r="H1073" s="26" t="inlineStr">
        <is>
          <t>GARALASAR</t>
        </is>
      </c>
    </row>
    <row r="1074">
      <c r="H1074" s="26" t="inlineStr">
        <is>
          <t>GARALASAR (REPLICATED)</t>
        </is>
      </c>
    </row>
    <row r="1075">
      <c r="H1075" s="26" t="inlineStr">
        <is>
          <t>GARALASAR TRADING PLC</t>
        </is>
      </c>
    </row>
    <row r="1076">
      <c r="H1076" s="26" t="inlineStr">
        <is>
          <t>GARDEN INN APARTMENTS PLC</t>
        </is>
      </c>
    </row>
    <row r="1077">
      <c r="H1077" s="26" t="inlineStr">
        <is>
          <t>GAROLLA REAL STATE PLC</t>
        </is>
      </c>
    </row>
    <row r="1078">
      <c r="H1078" s="26" t="inlineStr">
        <is>
          <t>GASHUNA COFFEE</t>
        </is>
      </c>
    </row>
    <row r="1079">
      <c r="H1079" s="26" t="inlineStr">
        <is>
          <t>GAST SOLAR MECHANICS PLC</t>
        </is>
      </c>
    </row>
    <row r="1080">
      <c r="H1080" s="26" t="inlineStr">
        <is>
          <t>GAVA PHARMACEUTICALS PLC</t>
        </is>
      </c>
    </row>
    <row r="1081">
      <c r="H1081" s="26" t="inlineStr">
        <is>
          <t>GDRS TRADING PLC</t>
        </is>
      </c>
    </row>
    <row r="1082">
      <c r="H1082" s="26" t="inlineStr">
        <is>
          <t>GEARA NEMERA</t>
        </is>
      </c>
    </row>
    <row r="1083">
      <c r="H1083" s="26" t="inlineStr">
        <is>
          <t>GEBETA PLC</t>
        </is>
      </c>
    </row>
    <row r="1084">
      <c r="H1084" s="26" t="inlineStr">
        <is>
          <t>GEBEYA DEVELOPERS</t>
        </is>
      </c>
    </row>
    <row r="1085">
      <c r="H1085" s="26" t="inlineStr">
        <is>
          <t>GEBEYAW ADMASU ALEMAW</t>
        </is>
      </c>
    </row>
    <row r="1086">
      <c r="H1086" s="26" t="inlineStr">
        <is>
          <t>GEBEYEHU ABEBE SIME</t>
        </is>
      </c>
    </row>
    <row r="1087">
      <c r="H1087" s="26" t="inlineStr">
        <is>
          <t>GEBI MITORO YABATO</t>
        </is>
      </c>
    </row>
    <row r="1088">
      <c r="H1088" s="26" t="inlineStr">
        <is>
          <t>GEBRE SILLASIE GEBERE GIORGIS</t>
        </is>
      </c>
    </row>
    <row r="1089">
      <c r="H1089" s="26" t="inlineStr">
        <is>
          <t>GEBRE ZERBRUK HAILU</t>
        </is>
      </c>
    </row>
    <row r="1090">
      <c r="H1090" s="26" t="inlineStr">
        <is>
          <t>GEBREGIORGIS ZERIABRUK KIDANU (MERRY GOLD HOTEL)</t>
        </is>
      </c>
    </row>
    <row r="1091">
      <c r="H1091" s="26" t="inlineStr">
        <is>
          <t>GEBREHIWOT BARIHE</t>
        </is>
      </c>
    </row>
    <row r="1092">
      <c r="H1092" s="26" t="inlineStr">
        <is>
          <t>GEBREMARIAM KAHSAY DESTA</t>
        </is>
      </c>
    </row>
    <row r="1093">
      <c r="H1093" s="26" t="inlineStr">
        <is>
          <t>GEBREMEDIHIN WOLDEGEBRIEL HAGOS</t>
        </is>
      </c>
    </row>
    <row r="1094">
      <c r="H1094" s="26" t="inlineStr">
        <is>
          <t>GEDA GENERA BUSINESSES</t>
        </is>
      </c>
    </row>
    <row r="1095">
      <c r="H1095" s="26" t="inlineStr">
        <is>
          <t>GEDA PRIMARY HOSPITAL SERVICE PLC</t>
        </is>
      </c>
    </row>
    <row r="1096">
      <c r="H1096" s="26" t="inlineStr">
        <is>
          <t>GEDEYE BAHETA EQUBAY</t>
        </is>
      </c>
    </row>
    <row r="1097">
      <c r="H1097" s="26" t="inlineStr">
        <is>
          <t>GELETA LEGESE ODA</t>
        </is>
      </c>
    </row>
    <row r="1098">
      <c r="H1098" s="26" t="inlineStr">
        <is>
          <t>GELILA FANUEL TACHANE</t>
        </is>
      </c>
    </row>
    <row r="1099">
      <c r="H1099" s="26" t="inlineStr">
        <is>
          <t>GEMECHIS BELAY</t>
        </is>
      </c>
    </row>
    <row r="1100">
      <c r="H1100" s="26" t="inlineStr">
        <is>
          <t>GEMSHU BEYENE BOTTE</t>
        </is>
      </c>
    </row>
    <row r="1101">
      <c r="H1101" s="26" t="inlineStr">
        <is>
          <t>GENESIS FISH HOUSE</t>
        </is>
      </c>
    </row>
    <row r="1102">
      <c r="H1102" s="26" t="inlineStr">
        <is>
          <t>GENET CHALA</t>
        </is>
      </c>
    </row>
    <row r="1103">
      <c r="H1103" s="26" t="inlineStr">
        <is>
          <t>GENET HOTEL</t>
        </is>
      </c>
    </row>
    <row r="1104">
      <c r="H1104" s="26" t="inlineStr">
        <is>
          <t>GENET SEYUM NIGUSE</t>
        </is>
      </c>
    </row>
    <row r="1105">
      <c r="H1105" s="26" t="inlineStr">
        <is>
          <t>GENET TESSEMA BALAY(AG PALACE HOTEL)</t>
        </is>
      </c>
    </row>
    <row r="1106">
      <c r="H1106" s="26" t="inlineStr">
        <is>
          <t>GENET WONDEMAGEGNEHU GEDELE</t>
        </is>
      </c>
    </row>
    <row r="1107">
      <c r="H1107" s="26" t="inlineStr">
        <is>
          <t>GENIUS COMPUTER</t>
        </is>
      </c>
    </row>
    <row r="1108">
      <c r="H1108" s="26" t="inlineStr">
        <is>
          <t>GEOSTAR SURVEYING SOLUTION PLC</t>
        </is>
      </c>
    </row>
    <row r="1109">
      <c r="H1109" s="26" t="inlineStr">
        <is>
          <t>GESAN HEALTH SERVICE PLC</t>
        </is>
      </c>
    </row>
    <row r="1110">
      <c r="H1110" s="26" t="inlineStr">
        <is>
          <t>GESESE SAMUEL</t>
        </is>
      </c>
    </row>
    <row r="1111">
      <c r="H1111" s="26" t="inlineStr">
        <is>
          <t>GESUND SPECIAL CENTER</t>
        </is>
      </c>
    </row>
    <row r="1112">
      <c r="H1112" s="26" t="inlineStr">
        <is>
          <t>GETACHER GEBREHIWOT NEGESE</t>
        </is>
      </c>
    </row>
    <row r="1113">
      <c r="H1113" s="26" t="inlineStr">
        <is>
          <t>GETACHEW BEYENE ATRESO</t>
        </is>
      </c>
    </row>
    <row r="1114">
      <c r="H1114" s="26" t="inlineStr">
        <is>
          <t>GETACHEW GIRMA AMBAYE</t>
        </is>
      </c>
    </row>
    <row r="1115">
      <c r="H1115" s="26" t="inlineStr">
        <is>
          <t>GETACHEW KEBEBEW MAKO</t>
        </is>
      </c>
    </row>
    <row r="1116">
      <c r="H1116" s="26" t="inlineStr">
        <is>
          <t>GETACHEW KEBEDE JEMBERE</t>
        </is>
      </c>
    </row>
    <row r="1117">
      <c r="H1117" s="26" t="inlineStr">
        <is>
          <t>GETACHEW WUBSHET</t>
        </is>
      </c>
    </row>
    <row r="1118">
      <c r="H1118" s="26" t="inlineStr">
        <is>
          <t>GETANEH HGEBRAEL ANDARGE</t>
        </is>
      </c>
    </row>
    <row r="1119">
      <c r="H1119" s="26" t="inlineStr">
        <is>
          <t>GETBY TRADE AND INDUSTRY PLC</t>
        </is>
      </c>
    </row>
    <row r="1120">
      <c r="H1120" s="26" t="inlineStr">
        <is>
          <t>GETE WAMI AND FAMILY BUSINESS PLC (EVA HOTEL)</t>
        </is>
      </c>
    </row>
    <row r="1121">
      <c r="H1121" s="26" t="inlineStr">
        <is>
          <t>GETENESH MAMO DIRO</t>
        </is>
      </c>
    </row>
    <row r="1122">
      <c r="H1122" s="26" t="inlineStr">
        <is>
          <t>GETFAM PLC</t>
        </is>
      </c>
    </row>
    <row r="1123">
      <c r="H1123" s="26" t="inlineStr">
        <is>
          <t>GETINET GOSHU</t>
        </is>
      </c>
    </row>
    <row r="1124">
      <c r="H1124" s="26" t="inlineStr">
        <is>
          <t>GETINET TSEGA</t>
        </is>
      </c>
    </row>
    <row r="1125">
      <c r="H1125" s="26" t="inlineStr">
        <is>
          <t>GETMAZ GENERAL BUSINESS PLC</t>
        </is>
      </c>
    </row>
    <row r="1126">
      <c r="H1126" s="26" t="inlineStr">
        <is>
          <t>GETNET MANDEFRO</t>
        </is>
      </c>
    </row>
    <row r="1127">
      <c r="H1127" s="26" t="inlineStr">
        <is>
          <t>GETNET TESFAYE DENBOBA</t>
        </is>
      </c>
    </row>
    <row r="1128">
      <c r="H1128" s="26" t="inlineStr">
        <is>
          <t>GETU ASNAKE</t>
        </is>
      </c>
    </row>
    <row r="1129">
      <c r="H1129" s="26" t="inlineStr">
        <is>
          <t>GETU CHALA NATAE</t>
        </is>
      </c>
    </row>
    <row r="1130">
      <c r="H1130" s="26" t="inlineStr">
        <is>
          <t>GETU GELETE</t>
        </is>
      </c>
    </row>
    <row r="1131">
      <c r="H1131" s="26" t="inlineStr">
        <is>
          <t>GETU TEFERA  GENERAL IMPORTER</t>
        </is>
      </c>
    </row>
    <row r="1132">
      <c r="H1132" s="26" t="inlineStr">
        <is>
          <t>GETYE MEKURIA</t>
        </is>
      </c>
    </row>
    <row r="1133">
      <c r="H1133" s="26" t="inlineStr">
        <is>
          <t>GEZAHEGN AND ELFINESH RESORT</t>
        </is>
      </c>
    </row>
    <row r="1134">
      <c r="H1134" s="26" t="inlineStr">
        <is>
          <t>GEZE TRADING PLC</t>
        </is>
      </c>
    </row>
    <row r="1135">
      <c r="H1135" s="26" t="inlineStr">
        <is>
          <t>GG ROYAL BUSINESS CENTER PLC</t>
        </is>
      </c>
    </row>
    <row r="1136">
      <c r="H1136" s="26" t="inlineStr">
        <is>
          <t>GGT INTERNATIONAL HOTEL</t>
        </is>
      </c>
    </row>
    <row r="1137">
      <c r="H1137" s="26" t="inlineStr">
        <is>
          <t>GHER -U GEBRU</t>
        </is>
      </c>
    </row>
    <row r="1138">
      <c r="H1138" s="26" t="inlineStr">
        <is>
          <t>GHION HOTEL ENTERPRISE</t>
        </is>
      </c>
    </row>
    <row r="1139">
      <c r="H1139" s="26" t="inlineStr">
        <is>
          <t>GHION INDUSTRIAL CHEMICAL</t>
        </is>
      </c>
    </row>
    <row r="1140">
      <c r="H1140" s="26" t="inlineStr">
        <is>
          <t>GIESECKE AND DEVRIENT CURRENCY TECHNOLOGY FZE ETHIO</t>
        </is>
      </c>
    </row>
    <row r="1141">
      <c r="H1141" s="26" t="inlineStr">
        <is>
          <t>GILLU HOTEL PLC</t>
        </is>
      </c>
    </row>
    <row r="1142">
      <c r="H1142" s="26" t="inlineStr">
        <is>
          <t>GINB GEBEYA TRADING SHARE COMPANY</t>
        </is>
      </c>
    </row>
    <row r="1143">
      <c r="H1143" s="26" t="inlineStr">
        <is>
          <t>GION CONSTRUCTION MATERIAL WHOLESALE TRADE PLC</t>
        </is>
      </c>
    </row>
    <row r="1144">
      <c r="H1144" s="26" t="inlineStr">
        <is>
          <t>GIRMA ETECHA AYANO</t>
        </is>
      </c>
    </row>
    <row r="1145">
      <c r="H1145" s="26" t="inlineStr">
        <is>
          <t>GIRMA GEFAWOSEEN YELMA</t>
        </is>
      </c>
    </row>
    <row r="1146">
      <c r="H1146" s="26" t="inlineStr">
        <is>
          <t>GIRMA REGU NEME</t>
        </is>
      </c>
    </row>
    <row r="1147">
      <c r="H1147" s="26" t="inlineStr">
        <is>
          <t>GIRMA TADESSE</t>
        </is>
      </c>
    </row>
    <row r="1148">
      <c r="H1148" s="26" t="inlineStr">
        <is>
          <t>GIRMACHINPLE(AGLA HOTEL)</t>
        </is>
      </c>
    </row>
    <row r="1149">
      <c r="H1149" s="26" t="inlineStr">
        <is>
          <t>GIRMAY HAILU HAGOS</t>
        </is>
      </c>
    </row>
    <row r="1150">
      <c r="H1150" s="26" t="inlineStr">
        <is>
          <t>GIRMETHO ENGINEERING PLC</t>
        </is>
      </c>
    </row>
    <row r="1151">
      <c r="H1151" s="26" t="inlineStr">
        <is>
          <t>GIRUM HOSPITAL</t>
        </is>
      </c>
    </row>
    <row r="1152">
      <c r="H1152" s="26" t="inlineStr">
        <is>
          <t>GISHEN PHARMACY</t>
        </is>
      </c>
    </row>
    <row r="1153">
      <c r="H1153" s="26" t="inlineStr">
        <is>
          <t>GLOBAL SCIENTIFIC LAB TRADING ONE MEMBER PLC</t>
        </is>
      </c>
    </row>
    <row r="1154">
      <c r="H1154" s="26" t="inlineStr">
        <is>
          <t>GLORAY TEMPERED GLASS MANUFACTURING PLC</t>
        </is>
      </c>
    </row>
    <row r="1155">
      <c r="H1155" s="26" t="inlineStr">
        <is>
          <t>GLORY IMPORT AND EXPORT TRADING PLC</t>
        </is>
      </c>
    </row>
    <row r="1156">
      <c r="H1156" s="26" t="inlineStr">
        <is>
          <t>GO FRESH TRADING PLC</t>
        </is>
      </c>
    </row>
    <row r="1157">
      <c r="H1157" s="26" t="inlineStr">
        <is>
          <t>GO INDUSTRY AND TRADING  PLC</t>
        </is>
      </c>
    </row>
    <row r="1158">
      <c r="H1158" s="26" t="inlineStr">
        <is>
          <t>GO TEDDY SPORT TRADING PLC</t>
        </is>
      </c>
    </row>
    <row r="1159">
      <c r="H1159" s="26" t="inlineStr">
        <is>
          <t>GO TEDDY SPORT WEAR IMPORT</t>
        </is>
      </c>
    </row>
    <row r="1160">
      <c r="H1160" s="26" t="inlineStr">
        <is>
          <t>GOCH PLC</t>
        </is>
      </c>
    </row>
    <row r="1161">
      <c r="H1161" s="26" t="inlineStr">
        <is>
          <t>GODAANA JARSO GUTO</t>
        </is>
      </c>
    </row>
    <row r="1162">
      <c r="H1162" s="26" t="inlineStr">
        <is>
          <t>GODOLIAS INTERNATIONAL HOTEL</t>
        </is>
      </c>
    </row>
    <row r="1163">
      <c r="H1163" s="26" t="inlineStr">
        <is>
          <t>GOH IMPORT AND EXPORT PLC</t>
        </is>
      </c>
    </row>
    <row r="1164">
      <c r="H1164" s="26" t="inlineStr">
        <is>
          <t>GOHA ADDIS HOTEL</t>
        </is>
      </c>
    </row>
    <row r="1165">
      <c r="H1165" s="26" t="inlineStr">
        <is>
          <t>GOLDEN COFFEE ROASTERY PLC</t>
        </is>
      </c>
    </row>
    <row r="1166">
      <c r="H1166" s="26" t="inlineStr">
        <is>
          <t>GOLDEN IMPORTER PLC</t>
        </is>
      </c>
    </row>
    <row r="1167">
      <c r="H1167" s="26" t="inlineStr">
        <is>
          <t>GOLDEN N BLUE TRADING AND TRANSPORT PLC</t>
        </is>
      </c>
    </row>
    <row r="1168">
      <c r="H1168" s="26" t="inlineStr">
        <is>
          <t>GOLDEN PARK APARTMENT HOTEL</t>
        </is>
      </c>
    </row>
    <row r="1169">
      <c r="H1169" s="26" t="inlineStr">
        <is>
          <t>GOLDEN STAR PLC</t>
        </is>
      </c>
    </row>
    <row r="1170">
      <c r="H1170" s="26" t="inlineStr">
        <is>
          <t>GOLDEN TOOLS TRADING PLC</t>
        </is>
      </c>
    </row>
    <row r="1171">
      <c r="H1171" s="26" t="inlineStr">
        <is>
          <t>GOLIS COMMERCIAL CENTER PLC</t>
        </is>
      </c>
    </row>
    <row r="1172">
      <c r="H1172" s="26" t="inlineStr">
        <is>
          <t>GOOD TRADING PLC</t>
        </is>
      </c>
    </row>
    <row r="1173">
      <c r="H1173" s="26" t="inlineStr">
        <is>
          <t>GOREF GENERAL TRADING PLC</t>
        </is>
      </c>
    </row>
    <row r="1174">
      <c r="H1174" s="26" t="inlineStr">
        <is>
          <t>GOSH HOTEL(MESERET GOSHU)</t>
        </is>
      </c>
    </row>
    <row r="1175">
      <c r="H1175" s="26" t="inlineStr">
        <is>
          <t>GRACE HOSPITAL SERVICE PLC</t>
        </is>
      </c>
    </row>
    <row r="1176">
      <c r="H1176" s="26" t="inlineStr">
        <is>
          <t>GRACE MEDICAL CENTER</t>
        </is>
      </c>
    </row>
    <row r="1177">
      <c r="H1177" s="26" t="inlineStr">
        <is>
          <t>GRAND ADDIS HOTEL</t>
        </is>
      </c>
    </row>
    <row r="1178">
      <c r="H1178" s="26" t="inlineStr">
        <is>
          <t>GRAND ELECTRICAL ENTERPRISE</t>
        </is>
      </c>
    </row>
    <row r="1179">
      <c r="H1179" s="26" t="inlineStr">
        <is>
          <t>GRAND MAYA TRADING PLC</t>
        </is>
      </c>
    </row>
    <row r="1180">
      <c r="H1180" s="26" t="inlineStr">
        <is>
          <t>GRAND ROYAL HOTEL</t>
        </is>
      </c>
    </row>
    <row r="1181">
      <c r="H1181" s="26" t="inlineStr">
        <is>
          <t>GRAND STONE TRADING PLC</t>
        </is>
      </c>
    </row>
    <row r="1182">
      <c r="H1182" s="26" t="inlineStr">
        <is>
          <t>GRANDEUR CERAMIC MANUFACTURING PLC</t>
        </is>
      </c>
    </row>
    <row r="1183">
      <c r="H1183" s="26" t="inlineStr">
        <is>
          <t>GRASEL TRADING PLC</t>
        </is>
      </c>
    </row>
    <row r="1184">
      <c r="H1184" s="26" t="inlineStr">
        <is>
          <t>GREAT ABISINIYA</t>
        </is>
      </c>
    </row>
    <row r="1185">
      <c r="H1185" s="26" t="inlineStr">
        <is>
          <t>GREAT ETHIOPIAN RUN PLC</t>
        </is>
      </c>
    </row>
    <row r="1186">
      <c r="H1186" s="26" t="inlineStr">
        <is>
          <t>GREEK COMMUNITY ORGANIZATION</t>
        </is>
      </c>
    </row>
    <row r="1187">
      <c r="H1187" s="26" t="inlineStr">
        <is>
          <t>GREEN BUSH GARDEN</t>
        </is>
      </c>
    </row>
    <row r="1188">
      <c r="H1188" s="26" t="inlineStr">
        <is>
          <t>GREEN CARE AGROCHEMICALS(DESTA JARISO)</t>
        </is>
      </c>
    </row>
    <row r="1189">
      <c r="H1189" s="26" t="inlineStr">
        <is>
          <t>GREEN CARE INVESTMENT GROUP ONE MEMBER PLC</t>
        </is>
      </c>
    </row>
    <row r="1190">
      <c r="H1190" s="26" t="inlineStr">
        <is>
          <t>GREEN CARE NATURALS TRADING PLC</t>
        </is>
      </c>
    </row>
    <row r="1191">
      <c r="H1191" s="26" t="inlineStr">
        <is>
          <t>GREEN GOLD ETHIOPIA PLC</t>
        </is>
      </c>
    </row>
    <row r="1192">
      <c r="H1192" s="26" t="inlineStr">
        <is>
          <t>GREEN MART SUPERMARKET</t>
        </is>
      </c>
    </row>
    <row r="1193">
      <c r="H1193" s="26" t="inlineStr">
        <is>
          <t>GREEN TISSUE CULTURE LABORATORY PLC</t>
        </is>
      </c>
    </row>
    <row r="1194">
      <c r="H1194" s="26" t="inlineStr">
        <is>
          <t>GREEN VALLEY RESORT</t>
        </is>
      </c>
    </row>
    <row r="1195">
      <c r="H1195" s="26" t="inlineStr">
        <is>
          <t>GREENLEAVES TRADING P L C</t>
        </is>
      </c>
    </row>
    <row r="1196">
      <c r="H1196" s="26" t="inlineStr">
        <is>
          <t>GS TRADING PLC</t>
        </is>
      </c>
    </row>
    <row r="1197">
      <c r="H1197" s="26" t="inlineStr">
        <is>
          <t>GT DARAGO PLC(GEBRETSADIK)</t>
        </is>
      </c>
    </row>
    <row r="1198">
      <c r="H1198" s="26" t="inlineStr">
        <is>
          <t>GUADA BALTENA PLC</t>
        </is>
      </c>
    </row>
    <row r="1199">
      <c r="H1199" s="26" t="inlineStr">
        <is>
          <t>GUDETA IMANA JALATA</t>
        </is>
      </c>
    </row>
    <row r="1200">
      <c r="H1200" s="26" t="inlineStr">
        <is>
          <t>GUDISSA KEBEDE ROBI</t>
        </is>
      </c>
    </row>
    <row r="1201">
      <c r="H1201" s="26" t="inlineStr">
        <is>
          <t>GULF AZIZA FAMILY GENERAL TRADING PLC</t>
        </is>
      </c>
    </row>
    <row r="1202">
      <c r="H1202" s="26" t="inlineStr">
        <is>
          <t>GUMER GRAVEL PRODUCTION PLC</t>
        </is>
      </c>
    </row>
    <row r="1203">
      <c r="H1203" s="26" t="inlineStr">
        <is>
          <t>GUSTO TRATTORIA RESTAURANT PLC</t>
        </is>
      </c>
    </row>
    <row r="1204">
      <c r="H1204" s="26" t="inlineStr">
        <is>
          <t>GUTAMA GUTA ETICHA</t>
        </is>
      </c>
    </row>
    <row r="1205">
      <c r="H1205" s="26" t="inlineStr">
        <is>
          <t>GUZARA HOTEL</t>
        </is>
      </c>
    </row>
    <row r="1206">
      <c r="H1206" s="26" t="inlineStr">
        <is>
          <t>GUZOGO TRAVEL PLC</t>
        </is>
      </c>
    </row>
    <row r="1207">
      <c r="H1207" s="26" t="inlineStr">
        <is>
          <t>H A K F TRADING PLC</t>
        </is>
      </c>
    </row>
    <row r="1208">
      <c r="H1208" s="26" t="inlineStr">
        <is>
          <t>H AND B TRADING ONE MEMBER PLC</t>
        </is>
      </c>
    </row>
    <row r="1209">
      <c r="H1209" s="26" t="inlineStr">
        <is>
          <t>H AND M TRADING PRIVATE LIMITED COMPANY</t>
        </is>
      </c>
    </row>
    <row r="1210">
      <c r="H1210" s="26" t="inlineStr">
        <is>
          <t>H T ENGINEERING AND TRADING PLC</t>
        </is>
      </c>
    </row>
    <row r="1211">
      <c r="H1211" s="26" t="inlineStr">
        <is>
          <t>H TWO O ENGINEERING PLC</t>
        </is>
      </c>
    </row>
    <row r="1212">
      <c r="H1212" s="26" t="inlineStr">
        <is>
          <t>H/MICHAEL G/IYESUS</t>
        </is>
      </c>
    </row>
    <row r="1213">
      <c r="H1213" s="26" t="inlineStr">
        <is>
          <t>HABARI HEALTHCARE PLC</t>
        </is>
      </c>
    </row>
    <row r="1214">
      <c r="H1214" s="26" t="inlineStr">
        <is>
          <t>HABESHA PHARMA PLC</t>
        </is>
      </c>
    </row>
    <row r="1215">
      <c r="H1215" s="26" t="inlineStr">
        <is>
          <t>HABESHA PRODUCTION</t>
        </is>
      </c>
    </row>
    <row r="1216">
      <c r="H1216" s="26" t="inlineStr">
        <is>
          <t>HABSU PLC</t>
        </is>
      </c>
    </row>
    <row r="1217">
      <c r="H1217" s="26" t="inlineStr">
        <is>
          <t>HABTAMU SHIFERAW BEKELE</t>
        </is>
      </c>
    </row>
    <row r="1218">
      <c r="H1218" s="26" t="inlineStr">
        <is>
          <t>HABTEMU MOLLA NEGASH</t>
        </is>
      </c>
    </row>
    <row r="1219">
      <c r="H1219" s="26" t="inlineStr">
        <is>
          <t>HABTYE MAMO SEFIW(CHEZ JEAN PATISSRIE)</t>
        </is>
      </c>
    </row>
    <row r="1220">
      <c r="H1220" s="26" t="inlineStr">
        <is>
          <t>HADAWI TRADING PLC</t>
        </is>
      </c>
    </row>
    <row r="1221">
      <c r="H1221" s="26" t="inlineStr">
        <is>
          <t>HADERA BELAY (AGYE BAR AND RESTURANT)</t>
        </is>
      </c>
    </row>
    <row r="1222">
      <c r="H1222" s="26" t="inlineStr">
        <is>
          <t>HADMES HOTEL</t>
        </is>
      </c>
    </row>
    <row r="1223">
      <c r="H1223" s="26" t="inlineStr">
        <is>
          <t>HADRA MOHAMMED MUSTEFA</t>
        </is>
      </c>
    </row>
    <row r="1224">
      <c r="H1224" s="26" t="inlineStr">
        <is>
          <t>HADUSH TESFASLASIE GEBRESLASIE</t>
        </is>
      </c>
    </row>
    <row r="1225">
      <c r="H1225" s="26" t="inlineStr">
        <is>
          <t>HAGER FIKIR THEATRE</t>
        </is>
      </c>
    </row>
    <row r="1226">
      <c r="H1226" s="26" t="inlineStr">
        <is>
          <t>HAGERE APARTMENT HOTEL</t>
        </is>
      </c>
    </row>
    <row r="1227">
      <c r="H1227" s="26" t="inlineStr">
        <is>
          <t>HAGOS TEFERI HADER</t>
        </is>
      </c>
    </row>
    <row r="1228">
      <c r="H1228" s="26" t="inlineStr">
        <is>
          <t>HAILE ACHUMO</t>
        </is>
      </c>
    </row>
    <row r="1229">
      <c r="H1229" s="26" t="inlineStr">
        <is>
          <t>HAILEMICHAEL YIHDEGU TEKLEHAYMANOT</t>
        </is>
      </c>
    </row>
    <row r="1230">
      <c r="H1230" s="26" t="inlineStr">
        <is>
          <t>HAILESELASSIE WORKU</t>
        </is>
      </c>
    </row>
    <row r="1231">
      <c r="H1231" s="26" t="inlineStr">
        <is>
          <t>HAILU KASSA</t>
        </is>
      </c>
    </row>
    <row r="1232">
      <c r="H1232" s="26" t="inlineStr">
        <is>
          <t>HAILU WOLDE(ODNA GUEST HOUSE)</t>
        </is>
      </c>
    </row>
    <row r="1233">
      <c r="H1233" s="26" t="inlineStr">
        <is>
          <t>HAIYAN CHEN</t>
        </is>
      </c>
    </row>
    <row r="1234">
      <c r="H1234" s="26" t="inlineStr">
        <is>
          <t>HAKU BUSINESS GROUP PLC</t>
        </is>
      </c>
    </row>
    <row r="1235">
      <c r="H1235" s="26" t="inlineStr">
        <is>
          <t>HALELUYA GENERAL HOSPITAL</t>
        </is>
      </c>
    </row>
    <row r="1236">
      <c r="H1236" s="26" t="inlineStr">
        <is>
          <t>HAMBURG CAFE</t>
        </is>
      </c>
    </row>
    <row r="1237">
      <c r="H1237" s="26" t="inlineStr">
        <is>
          <t>HAMILTON HOTEL</t>
        </is>
      </c>
    </row>
    <row r="1238">
      <c r="H1238" s="26" t="inlineStr">
        <is>
          <t>HANA FIKADU NIGSSEE</t>
        </is>
      </c>
    </row>
    <row r="1239">
      <c r="H1239" s="26" t="inlineStr">
        <is>
          <t>HANA YIGEZU ETHICA</t>
        </is>
      </c>
    </row>
    <row r="1240">
      <c r="H1240" s="26" t="inlineStr">
        <is>
          <t>HANAN MENUR AHMED</t>
        </is>
      </c>
    </row>
    <row r="1241">
      <c r="H1241" s="26" t="inlineStr">
        <is>
          <t>HANBON CONSTRUCTION MATERIAL PLC</t>
        </is>
      </c>
    </row>
    <row r="1242">
      <c r="H1242" s="26" t="inlineStr">
        <is>
          <t>HANSA HORTICULTURAL PLC</t>
        </is>
      </c>
    </row>
    <row r="1243">
      <c r="H1243" s="26" t="inlineStr">
        <is>
          <t>HARAR MEDICAL CENTER PLC</t>
        </is>
      </c>
    </row>
    <row r="1244">
      <c r="H1244" s="26" t="inlineStr">
        <is>
          <t>HAREGUA FISSEHA HAILU</t>
        </is>
      </c>
    </row>
    <row r="1245">
      <c r="H1245" s="26" t="inlineStr">
        <is>
          <t>HARI TRADING PLC</t>
        </is>
      </c>
    </row>
    <row r="1246">
      <c r="H1246" s="26" t="inlineStr">
        <is>
          <t>HARNIS INT HOTEL PLC</t>
        </is>
      </c>
    </row>
    <row r="1247">
      <c r="H1247" s="26" t="inlineStr">
        <is>
          <t>HASHIM EBRAHIM</t>
        </is>
      </c>
    </row>
    <row r="1248">
      <c r="H1248" s="26" t="inlineStr">
        <is>
          <t>HASSEN SEMAN MOHAMED</t>
        </is>
      </c>
    </row>
    <row r="1249">
      <c r="H1249" s="26" t="inlineStr">
        <is>
          <t>HAYAT HOSPITAL MEDICAL COLLEGE PLC</t>
        </is>
      </c>
    </row>
    <row r="1250">
      <c r="H1250" s="26" t="inlineStr">
        <is>
          <t>HAYES HOTEL</t>
        </is>
      </c>
    </row>
    <row r="1251">
      <c r="H1251" s="26" t="inlineStr">
        <is>
          <t>HAYKAN HOTEL</t>
        </is>
      </c>
    </row>
    <row r="1252">
      <c r="H1252" s="26" t="inlineStr">
        <is>
          <t>HAYMANOT TEZERA TESFAY</t>
        </is>
      </c>
    </row>
    <row r="1253">
      <c r="H1253" s="26" t="inlineStr">
        <is>
          <t>HAYMANOT WEREDE ABER</t>
        </is>
      </c>
    </row>
    <row r="1254">
      <c r="H1254" s="26" t="inlineStr">
        <is>
          <t>HAYMART TRADING PLC</t>
        </is>
      </c>
    </row>
    <row r="1255">
      <c r="H1255" s="26" t="inlineStr">
        <is>
          <t>HAYSEN PAYEN GENERAL TRADNING PLC</t>
        </is>
      </c>
    </row>
    <row r="1256">
      <c r="H1256" s="26" t="inlineStr">
        <is>
          <t>HEAL AFRICA HEALTH CITY SC</t>
        </is>
      </c>
    </row>
    <row r="1257">
      <c r="H1257" s="26" t="inlineStr">
        <is>
          <t>HEAL VENTURE MEDICAL AND SURGICAL CENTER PLC</t>
        </is>
      </c>
    </row>
    <row r="1258">
      <c r="H1258" s="26" t="inlineStr">
        <is>
          <t>HEALTH INTERNATIONAL HOTEL</t>
        </is>
      </c>
    </row>
    <row r="1259">
      <c r="H1259" s="26" t="inlineStr">
        <is>
          <t>HEALTHGATE PHARMA PLC</t>
        </is>
      </c>
    </row>
    <row r="1260">
      <c r="H1260" s="26" t="inlineStr">
        <is>
          <t>HEBEST PLC</t>
        </is>
      </c>
    </row>
    <row r="1261">
      <c r="H1261" s="26" t="inlineStr">
        <is>
          <t>HEILDE APARTMENT HOTEL</t>
        </is>
      </c>
    </row>
    <row r="1262">
      <c r="H1262" s="26" t="inlineStr">
        <is>
          <t>HEINEKEN</t>
        </is>
      </c>
    </row>
    <row r="1263">
      <c r="H1263" s="26" t="inlineStr">
        <is>
          <t>HEINEKEN DUN</t>
        </is>
      </c>
    </row>
    <row r="1264">
      <c r="H1264" s="26" t="inlineStr">
        <is>
          <t>HEINKEN CN</t>
        </is>
      </c>
    </row>
    <row r="1265">
      <c r="H1265" s="26" t="inlineStr">
        <is>
          <t>HELEN FEKIRU BEKELE</t>
        </is>
      </c>
    </row>
    <row r="1266">
      <c r="H1266" s="26" t="inlineStr">
        <is>
          <t>HELEN KNIFE ABEBE</t>
        </is>
      </c>
    </row>
    <row r="1267">
      <c r="H1267" s="26" t="inlineStr">
        <is>
          <t>HELEN TARIKU ALEMNEH</t>
        </is>
      </c>
    </row>
    <row r="1268">
      <c r="H1268" s="26" t="inlineStr">
        <is>
          <t>HELINA GETACHEW</t>
        </is>
      </c>
    </row>
    <row r="1269">
      <c r="H1269" s="26" t="inlineStr">
        <is>
          <t>HELLEN KASSA BOGALE</t>
        </is>
      </c>
    </row>
    <row r="1270">
      <c r="H1270" s="26" t="inlineStr">
        <is>
          <t>HELLO SOLAR TECHNOLOGY PLC</t>
        </is>
      </c>
    </row>
    <row r="1271">
      <c r="H1271" s="26" t="inlineStr">
        <is>
          <t>HELMES GENERAL TRADING PLC</t>
        </is>
      </c>
    </row>
    <row r="1272">
      <c r="H1272" s="26" t="inlineStr">
        <is>
          <t>HELUF TSEGAYE</t>
        </is>
      </c>
    </row>
    <row r="1273">
      <c r="H1273" s="26" t="inlineStr">
        <is>
          <t>HELUYA INTERNATIONAL HOTEL</t>
        </is>
      </c>
    </row>
    <row r="1274">
      <c r="H1274" s="26" t="inlineStr">
        <is>
          <t>HEMA CAKERY TRADING PLC</t>
        </is>
      </c>
    </row>
    <row r="1275">
      <c r="H1275" s="26" t="inlineStr">
        <is>
          <t>HEMEN MEDICAL SERVICE PLC</t>
        </is>
      </c>
    </row>
    <row r="1276">
      <c r="H1276" s="26" t="inlineStr">
        <is>
          <t>HENOK AND FAMILY GENERAL BUSINESS PLC</t>
        </is>
      </c>
    </row>
    <row r="1277">
      <c r="H1277" s="26" t="inlineStr">
        <is>
          <t>HENOK BIRRU KEBEDE.KE.GI.TRADING</t>
        </is>
      </c>
    </row>
    <row r="1278">
      <c r="H1278" s="26" t="inlineStr">
        <is>
          <t>HENOK FELEKE ATINAFU</t>
        </is>
      </c>
    </row>
    <row r="1279">
      <c r="H1279" s="26" t="inlineStr">
        <is>
          <t>HENOK HAIMANOT GEMECHU</t>
        </is>
      </c>
    </row>
    <row r="1280">
      <c r="H1280" s="26" t="inlineStr">
        <is>
          <t>HENOK MITIKU MENGESHA</t>
        </is>
      </c>
    </row>
    <row r="1281">
      <c r="H1281" s="26" t="inlineStr">
        <is>
          <t>HENOK TAYE TAFESE</t>
        </is>
      </c>
    </row>
    <row r="1282">
      <c r="H1282" s="26" t="inlineStr">
        <is>
          <t>HENOM RESTAURANT</t>
        </is>
      </c>
    </row>
    <row r="1283">
      <c r="H1283" s="26" t="inlineStr">
        <is>
          <t>HERA ADDIS HOTEL</t>
        </is>
      </c>
    </row>
    <row r="1284">
      <c r="H1284" s="26" t="inlineStr">
        <is>
          <t>HERMS MEDICAL TRAVEL TRADING PLC</t>
        </is>
      </c>
    </row>
    <row r="1285">
      <c r="H1285" s="26" t="inlineStr">
        <is>
          <t>HERON HOTEL</t>
        </is>
      </c>
    </row>
    <row r="1286">
      <c r="H1286" s="26" t="inlineStr">
        <is>
          <t>HERU MOHAMMED AKMEL</t>
        </is>
      </c>
    </row>
    <row r="1287">
      <c r="H1287" s="26" t="inlineStr">
        <is>
          <t>HESS TRAVEL ETHIOPIA PLC</t>
        </is>
      </c>
    </row>
    <row r="1288">
      <c r="H1288" s="26" t="inlineStr">
        <is>
          <t>HH STEEL SECTIONS PLC</t>
        </is>
      </c>
    </row>
    <row r="1289">
      <c r="H1289" s="26" t="inlineStr">
        <is>
          <t>HIBRET ALEMAYEHU YEMER</t>
        </is>
      </c>
    </row>
    <row r="1290">
      <c r="H1290" s="26" t="inlineStr">
        <is>
          <t>HIBRET HOTEL</t>
        </is>
      </c>
    </row>
    <row r="1291">
      <c r="H1291" s="26" t="inlineStr">
        <is>
          <t>HIDET GENERAL TRADING  PLC</t>
        </is>
      </c>
    </row>
    <row r="1292">
      <c r="H1292" s="26" t="inlineStr">
        <is>
          <t>HIGH PROFILE PLC</t>
        </is>
      </c>
    </row>
    <row r="1293">
      <c r="H1293" s="26" t="inlineStr">
        <is>
          <t>HIKMET ISMAEL AHMED</t>
        </is>
      </c>
    </row>
    <row r="1294">
      <c r="H1294" s="26" t="inlineStr">
        <is>
          <t>HILINA ALEBACHEW SETE</t>
        </is>
      </c>
    </row>
    <row r="1295">
      <c r="H1295" s="26" t="inlineStr">
        <is>
          <t>HILLSIDE  HOTEL</t>
        </is>
      </c>
    </row>
    <row r="1296">
      <c r="H1296" s="26" t="inlineStr">
        <is>
          <t>HILMIE KEBEDE ABAIRE</t>
        </is>
      </c>
    </row>
    <row r="1297">
      <c r="H1297" s="26" t="inlineStr">
        <is>
          <t>HIND PLASTI MANUFACTING</t>
        </is>
      </c>
    </row>
    <row r="1298">
      <c r="H1298" s="26" t="inlineStr">
        <is>
          <t>HIRKO TRADING PLC</t>
        </is>
      </c>
    </row>
    <row r="1299">
      <c r="H1299" s="26" t="inlineStr">
        <is>
          <t>HIRUT KFILE WELDETSADIK</t>
        </is>
      </c>
    </row>
    <row r="1300">
      <c r="H1300" s="26" t="inlineStr">
        <is>
          <t>HIRUY MEZEGEBU MADHANE</t>
        </is>
      </c>
    </row>
    <row r="1301">
      <c r="H1301" s="26" t="inlineStr">
        <is>
          <t>HIWET LEGESSE TUMESA</t>
        </is>
      </c>
    </row>
    <row r="1302">
      <c r="H1302" s="26" t="inlineStr">
        <is>
          <t>HIWOT LEMMA HOTEL</t>
        </is>
      </c>
    </row>
    <row r="1303">
      <c r="H1303" s="26" t="inlineStr">
        <is>
          <t>HIWOT MOGES BEKELE</t>
        </is>
      </c>
    </row>
    <row r="1304">
      <c r="H1304" s="26" t="inlineStr">
        <is>
          <t>HIWOT TEKA</t>
        </is>
      </c>
    </row>
    <row r="1305">
      <c r="H1305" s="26" t="inlineStr">
        <is>
          <t>HIWOT TEKA DESTA 2</t>
        </is>
      </c>
    </row>
    <row r="1306">
      <c r="H1306" s="26" t="inlineStr">
        <is>
          <t>HKM FORM TECH MANUFACTURING PLC</t>
        </is>
      </c>
    </row>
    <row r="1307">
      <c r="H1307" s="26" t="inlineStr">
        <is>
          <t>HMAYLER PRIVATE  LIMITED COMAPNY</t>
        </is>
      </c>
    </row>
    <row r="1308">
      <c r="H1308" s="26" t="inlineStr">
        <is>
          <t>HMTM TRADING PLC</t>
        </is>
      </c>
    </row>
    <row r="1309">
      <c r="H1309" s="26" t="inlineStr">
        <is>
          <t>HNS TRADING PLC</t>
        </is>
      </c>
    </row>
    <row r="1310">
      <c r="H1310" s="26" t="inlineStr">
        <is>
          <t>HODA DAWEYE ABDI</t>
        </is>
      </c>
    </row>
    <row r="1311">
      <c r="H1311" s="26" t="inlineStr">
        <is>
          <t>HOHENA MANUFACTURING AND TRADING PLC</t>
        </is>
      </c>
    </row>
    <row r="1312">
      <c r="H1312" s="26" t="inlineStr">
        <is>
          <t>HOLETA STEEL FACTORY</t>
        </is>
      </c>
    </row>
    <row r="1313">
      <c r="H1313" s="26" t="inlineStr">
        <is>
          <t>HOLIDAY HOTEL</t>
        </is>
      </c>
    </row>
    <row r="1314">
      <c r="H1314" s="26" t="inlineStr">
        <is>
          <t>HOLY TRADING PLC</t>
        </is>
      </c>
    </row>
    <row r="1315">
      <c r="H1315" s="26" t="inlineStr">
        <is>
          <t>HOMELAND TRADING ONE MEMBER PLC</t>
        </is>
      </c>
    </row>
    <row r="1316">
      <c r="H1316" s="26" t="inlineStr">
        <is>
          <t>HOMICHO AMMUNITION ENGINEERING INDUSTRY</t>
        </is>
      </c>
    </row>
    <row r="1317">
      <c r="H1317" s="26" t="inlineStr">
        <is>
          <t>HONA TRADING PLC</t>
        </is>
      </c>
    </row>
    <row r="1318">
      <c r="H1318" s="26" t="inlineStr">
        <is>
          <t>HOPETECH MANUFACTURING PLC</t>
        </is>
      </c>
    </row>
    <row r="1319">
      <c r="H1319" s="26" t="inlineStr">
        <is>
          <t>HORIZON PLANTATIONS PLC</t>
        </is>
      </c>
    </row>
    <row r="1320">
      <c r="H1320" s="26" t="inlineStr">
        <is>
          <t>HORIZON PLANTATIONS PLC (SHEGER DABO)</t>
        </is>
      </c>
    </row>
    <row r="1321">
      <c r="H1321" s="26" t="inlineStr">
        <is>
          <t>HOSAM GENERAL TRADING</t>
        </is>
      </c>
    </row>
    <row r="1322">
      <c r="H1322" s="26" t="inlineStr">
        <is>
          <t>HOSANA KIFLU W.CERIQOS</t>
        </is>
      </c>
    </row>
    <row r="1323">
      <c r="H1323" s="26" t="inlineStr">
        <is>
          <t>HOSEA TRADING HOUSE PLC</t>
        </is>
      </c>
    </row>
    <row r="1324">
      <c r="H1324" s="26" t="inlineStr">
        <is>
          <t>HOSPITALITY SERVER TEST</t>
        </is>
      </c>
    </row>
    <row r="1325">
      <c r="H1325" s="26" t="inlineStr">
        <is>
          <t>HOTEL CELESTE</t>
        </is>
      </c>
    </row>
    <row r="1326">
      <c r="H1326" s="26" t="inlineStr">
        <is>
          <t>HOTEL TEST</t>
        </is>
      </c>
    </row>
    <row r="1327">
      <c r="H1327" s="26" t="inlineStr">
        <is>
          <t>HOTETE TIBEB SC</t>
        </is>
      </c>
    </row>
    <row r="1328">
      <c r="H1328" s="26" t="inlineStr">
        <is>
          <t>HRAIR VARJABEDIAN VAHA</t>
        </is>
      </c>
    </row>
    <row r="1329">
      <c r="H1329" s="26" t="inlineStr">
        <is>
          <t>HSSEN AHMED AMDEHU</t>
        </is>
      </c>
    </row>
    <row r="1330">
      <c r="H1330" s="26" t="inlineStr">
        <is>
          <t>HUANO MANUFACTURING PLC</t>
        </is>
      </c>
    </row>
    <row r="1331">
      <c r="H1331" s="26" t="inlineStr">
        <is>
          <t>HUAXIA TECHNOLOGY PLC(SHANGJIE XU-G.M)</t>
        </is>
      </c>
    </row>
    <row r="1332">
      <c r="H1332" s="26" t="inlineStr">
        <is>
          <t>HUBANA TRADING PLC</t>
        </is>
      </c>
    </row>
    <row r="1333">
      <c r="H1333" s="26" t="inlineStr">
        <is>
          <t>HUD PLC</t>
        </is>
      </c>
    </row>
    <row r="1334">
      <c r="H1334" s="26" t="inlineStr">
        <is>
          <t>HUDA REAL ESTATE PLC</t>
        </is>
      </c>
    </row>
    <row r="1335">
      <c r="H1335" s="26" t="inlineStr">
        <is>
          <t>HUNDAF BUSINESS GROUP PLC</t>
        </is>
      </c>
    </row>
    <row r="1336">
      <c r="H1336" s="26" t="inlineStr">
        <is>
          <t>HUNDE GENERAL TRADING(ARMEKO COFFEE)</t>
        </is>
      </c>
    </row>
    <row r="1337">
      <c r="H1337" s="26" t="inlineStr">
        <is>
          <t>HUSSEIN MOHAMED ALI (KISTA CAFE)</t>
        </is>
      </c>
    </row>
    <row r="1338">
      <c r="H1338" s="26" t="inlineStr">
        <is>
          <t>HUSSEN AGRAW IBRAHIM</t>
        </is>
      </c>
    </row>
    <row r="1339">
      <c r="H1339" s="26" t="inlineStr">
        <is>
          <t>HUSSEN YASIN MUHLE</t>
        </is>
      </c>
    </row>
    <row r="1340">
      <c r="H1340" s="26" t="inlineStr">
        <is>
          <t>HYOSUNG CORPORATION</t>
        </is>
      </c>
    </row>
    <row r="1341">
      <c r="H1341" s="26" t="inlineStr">
        <is>
          <t>I C M C GENERAL HOSPITAL</t>
        </is>
      </c>
    </row>
    <row r="1342">
      <c r="H1342" s="26" t="inlineStr">
        <is>
          <t>I CARE HOME SOLUTION PLC</t>
        </is>
      </c>
    </row>
    <row r="1343">
      <c r="H1343" s="26" t="inlineStr">
        <is>
          <t>I HOPE SOLUTIONS PLC</t>
        </is>
      </c>
    </row>
    <row r="1344">
      <c r="H1344" s="26" t="inlineStr">
        <is>
          <t>I POS INTERNATIONAL TRADING PLC</t>
        </is>
      </c>
    </row>
    <row r="1345">
      <c r="H1345" s="26" t="inlineStr">
        <is>
          <t>IBRAHIM BEDRU SAID</t>
        </is>
      </c>
    </row>
    <row r="1346">
      <c r="H1346" s="26" t="inlineStr">
        <is>
          <t>ICAS INTERNATIONAL CARGO AND AVIATION SERVICE PLC</t>
        </is>
      </c>
    </row>
    <row r="1347">
      <c r="H1347" s="26" t="inlineStr">
        <is>
          <t>IDDO WOOD WORKING AND TRADING PLC</t>
        </is>
      </c>
    </row>
    <row r="1348">
      <c r="H1348" s="26" t="inlineStr">
        <is>
          <t>IDEA INVESTMENT GROUP PLC</t>
        </is>
      </c>
    </row>
    <row r="1349">
      <c r="H1349" s="26" t="inlineStr">
        <is>
          <t>IFA GROUP TRADING PLC</t>
        </is>
      </c>
    </row>
    <row r="1350">
      <c r="H1350" s="26" t="inlineStr">
        <is>
          <t>IJA DEVELOPER</t>
        </is>
      </c>
    </row>
    <row r="1351">
      <c r="H1351" s="26" t="inlineStr">
        <is>
          <t>IKLHAS FINISHING PRODUCTS INDUSTRY AND TRADE PLC</t>
        </is>
      </c>
    </row>
    <row r="1352">
      <c r="H1352" s="26" t="inlineStr">
        <is>
          <t>ILILI LELISA BONSA</t>
        </is>
      </c>
    </row>
    <row r="1353">
      <c r="H1353" s="26" t="inlineStr">
        <is>
          <t>ILLU STAR HOTEL</t>
        </is>
      </c>
    </row>
    <row r="1354">
      <c r="H1354" s="26" t="inlineStr">
        <is>
          <t>ILLY CAFE</t>
        </is>
      </c>
    </row>
    <row r="1355">
      <c r="H1355" s="26" t="inlineStr">
        <is>
          <t>IMNA STEEL PLC</t>
        </is>
      </c>
    </row>
    <row r="1356">
      <c r="H1356" s="26" t="inlineStr">
        <is>
          <t>IMPERIAL TRADING PLC</t>
        </is>
      </c>
    </row>
    <row r="1357">
      <c r="H1357" s="26" t="inlineStr">
        <is>
          <t>IN-JOY BURGER</t>
        </is>
      </c>
    </row>
    <row r="1358">
      <c r="H1358" s="26" t="inlineStr">
        <is>
          <t>INA PHARMACY</t>
        </is>
      </c>
    </row>
    <row r="1359">
      <c r="H1359" s="26" t="inlineStr">
        <is>
          <t>INAT INGINEERING PLC</t>
        </is>
      </c>
    </row>
    <row r="1360">
      <c r="H1360" s="26" t="inlineStr">
        <is>
          <t>INATACHEN TRADING PLC</t>
        </is>
      </c>
    </row>
    <row r="1361">
      <c r="H1361" s="26" t="inlineStr">
        <is>
          <t>INDUSTRY TWO FIVE ONE SHARE COMPANY</t>
        </is>
      </c>
    </row>
    <row r="1362">
      <c r="H1362" s="26" t="inlineStr">
        <is>
          <t>INDUT INDUSTRY PLC</t>
        </is>
      </c>
    </row>
    <row r="1363">
      <c r="H1363" s="26" t="inlineStr">
        <is>
          <t>INFINITY ADVANCED TECHNOLOGY SOLUTION PLC</t>
        </is>
      </c>
    </row>
    <row r="1364">
      <c r="H1364" s="26" t="inlineStr">
        <is>
          <t>INFONANS SOLUTION PLC</t>
        </is>
      </c>
    </row>
    <row r="1365">
      <c r="H1365" s="26" t="inlineStr">
        <is>
          <t>INN ITALY CAFE AND RESTAURANT PLC</t>
        </is>
      </c>
    </row>
    <row r="1366">
      <c r="H1366" s="26" t="inlineStr">
        <is>
          <t>INTEC GOPA INTERNATIONAL ENERGY CONSULTANTS</t>
        </is>
      </c>
    </row>
    <row r="1367">
      <c r="H1367" s="26" t="inlineStr">
        <is>
          <t>IRACK IT SOLUTION PLCBISTRO PISSA</t>
        </is>
      </c>
    </row>
    <row r="1368">
      <c r="H1368" s="26" t="inlineStr">
        <is>
          <t>ISKA REAL STATE PLC</t>
        </is>
      </c>
    </row>
    <row r="1369">
      <c r="H1369" s="26" t="inlineStr">
        <is>
          <t>ISRAEL WAKWOYA</t>
        </is>
      </c>
    </row>
    <row r="1370">
      <c r="H1370" s="26" t="inlineStr">
        <is>
          <t>ISSAM PLC</t>
        </is>
      </c>
    </row>
    <row r="1371">
      <c r="H1371" s="26" t="inlineStr">
        <is>
          <t>ISTIFANOS MARASANI MIKELE</t>
        </is>
      </c>
    </row>
    <row r="1372">
      <c r="H1372" s="26" t="inlineStr">
        <is>
          <t>ITEGUE TAITU HOTEL PLC</t>
        </is>
      </c>
    </row>
    <row r="1373">
      <c r="H1373" s="26" t="inlineStr">
        <is>
          <t>ITHIEL MEDICAL SERVICE PLC</t>
        </is>
      </c>
    </row>
    <row r="1374">
      <c r="H1374" s="26" t="inlineStr">
        <is>
          <t>ITITU TRADING PLC</t>
        </is>
      </c>
    </row>
    <row r="1375">
      <c r="H1375" s="26" t="inlineStr">
        <is>
          <t>IVY HOTEL</t>
        </is>
      </c>
    </row>
    <row r="1376">
      <c r="H1376" s="26" t="inlineStr">
        <is>
          <t>J AND K RESTAURANT</t>
        </is>
      </c>
    </row>
    <row r="1377">
      <c r="H1377" s="26" t="inlineStr">
        <is>
          <t>J M COAT IMPORT PLC</t>
        </is>
      </c>
    </row>
    <row r="1378">
      <c r="H1378" s="26" t="inlineStr">
        <is>
          <t>JAFAR MOHAMMED AHMED</t>
        </is>
      </c>
    </row>
    <row r="1379">
      <c r="H1379" s="26" t="inlineStr">
        <is>
          <t>JAFAR STATIONERY IMPORTS AND WHOLE SALES PLC</t>
        </is>
      </c>
    </row>
    <row r="1380">
      <c r="H1380" s="26" t="inlineStr">
        <is>
          <t>JAK AND SONS TRADING PLC</t>
        </is>
      </c>
    </row>
    <row r="1381">
      <c r="H1381" s="26" t="inlineStr">
        <is>
          <t>JALO HOTEL</t>
        </is>
      </c>
    </row>
    <row r="1382">
      <c r="H1382" s="26" t="inlineStr">
        <is>
          <t>JAMBO CONSTRUCTION PLC</t>
        </is>
      </c>
    </row>
    <row r="1383">
      <c r="H1383" s="26" t="inlineStr">
        <is>
          <t>JAMUZ CLINIC PLC</t>
        </is>
      </c>
    </row>
    <row r="1384">
      <c r="H1384" s="26" t="inlineStr">
        <is>
          <t>JANET IMPORT AND EXPORT</t>
        </is>
      </c>
    </row>
    <row r="1385">
      <c r="H1385" s="26" t="inlineStr">
        <is>
          <t>JANO HOTEL</t>
        </is>
      </c>
    </row>
    <row r="1386">
      <c r="H1386" s="26" t="inlineStr">
        <is>
          <t>JARA GOSHU GOBENA</t>
        </is>
      </c>
    </row>
    <row r="1387">
      <c r="H1387" s="26" t="inlineStr">
        <is>
          <t>JARA GUDINA CONSUMER COOPERATIVE SOCIETY</t>
        </is>
      </c>
    </row>
    <row r="1388">
      <c r="H1388" s="26" t="inlineStr">
        <is>
          <t>JEGNA ELECTRONIC PRODUCTS MANUFACTURING PLC</t>
        </is>
      </c>
    </row>
    <row r="1389">
      <c r="H1389" s="26" t="inlineStr">
        <is>
          <t>JELALU TEMAM MOHAMMED</t>
        </is>
      </c>
    </row>
    <row r="1390">
      <c r="H1390" s="26" t="inlineStr">
        <is>
          <t>JEMAL FITWIT KEBEDE</t>
        </is>
      </c>
    </row>
    <row r="1391">
      <c r="H1391" s="26" t="inlineStr">
        <is>
          <t>JEMBER DESALEGN AJEGO</t>
        </is>
      </c>
    </row>
    <row r="1392">
      <c r="H1392" s="26" t="inlineStr">
        <is>
          <t>JENA ONE MEMBER PLC</t>
        </is>
      </c>
    </row>
    <row r="1393">
      <c r="H1393" s="26" t="inlineStr">
        <is>
          <t>JENCOF TRADING PLC</t>
        </is>
      </c>
    </row>
    <row r="1394">
      <c r="H1394" s="26" t="inlineStr">
        <is>
          <t>JERR PLC</t>
        </is>
      </c>
    </row>
    <row r="1395">
      <c r="H1395" s="26" t="inlineStr">
        <is>
          <t>JET TRADING PLC</t>
        </is>
      </c>
    </row>
    <row r="1396">
      <c r="H1396" s="26" t="inlineStr">
        <is>
          <t>JIMLAZONE GENERAL TRADING ONE PERSON PLC</t>
        </is>
      </c>
    </row>
    <row r="1397">
      <c r="H1397" s="26" t="inlineStr">
        <is>
          <t>JIN ZHIMIN</t>
        </is>
      </c>
    </row>
    <row r="1398">
      <c r="H1398" s="26" t="inlineStr">
        <is>
          <t>JIRO GENERAL TRADING PLC</t>
        </is>
      </c>
    </row>
    <row r="1399">
      <c r="H1399" s="26" t="inlineStr">
        <is>
          <t>JITU DABA ERENSA</t>
        </is>
      </c>
    </row>
    <row r="1400">
      <c r="H1400" s="26" t="inlineStr">
        <is>
          <t>JM COAT IMPORT PLC</t>
        </is>
      </c>
    </row>
    <row r="1401">
      <c r="H1401" s="26" t="inlineStr">
        <is>
          <t>JOEL PHARMACEUTICAL WHOLESALE PLC</t>
        </is>
      </c>
    </row>
    <row r="1402">
      <c r="H1402" s="26" t="inlineStr">
        <is>
          <t>JOLLY BAR AND GRILL PLC</t>
        </is>
      </c>
    </row>
    <row r="1403">
      <c r="H1403" s="26" t="inlineStr">
        <is>
          <t>JONNY GENERAL AUTO CAR AND MAINTENANCE AND ASSEMBLY</t>
        </is>
      </c>
    </row>
    <row r="1404">
      <c r="H1404" s="26" t="inlineStr">
        <is>
          <t>JORDAN RIVER HERBAL PLC</t>
        </is>
      </c>
    </row>
    <row r="1405">
      <c r="H1405" s="26" t="inlineStr">
        <is>
          <t>JOSAMBIN TREADING PLC</t>
        </is>
      </c>
    </row>
    <row r="1406">
      <c r="H1406" s="26" t="inlineStr">
        <is>
          <t>JOY BURGER AND PIZZA</t>
        </is>
      </c>
    </row>
    <row r="1407">
      <c r="H1407" s="26" t="inlineStr">
        <is>
          <t>JOY TRAVELS</t>
        </is>
      </c>
    </row>
    <row r="1408">
      <c r="H1408" s="26" t="inlineStr">
        <is>
          <t>JULPHAR PHARMACEUTICAL PLC</t>
        </is>
      </c>
    </row>
    <row r="1409">
      <c r="H1409" s="26" t="inlineStr">
        <is>
          <t>JUPITER TRADING PLC</t>
        </is>
      </c>
    </row>
    <row r="1410">
      <c r="H1410" s="26" t="inlineStr">
        <is>
          <t>K FAM TRADING PLC</t>
        </is>
      </c>
    </row>
    <row r="1411">
      <c r="H1411" s="26" t="inlineStr">
        <is>
          <t>K W ALEM GENERAL TRADING ONE MEMBER PLC</t>
        </is>
      </c>
    </row>
    <row r="1412">
      <c r="H1412" s="26" t="inlineStr">
        <is>
          <t>KACHA BEVERAGES PLC</t>
        </is>
      </c>
    </row>
    <row r="1413">
      <c r="H1413" s="26" t="inlineStr">
        <is>
          <t>KACHA CABLE PLC</t>
        </is>
      </c>
    </row>
    <row r="1414">
      <c r="H1414" s="26" t="inlineStr">
        <is>
          <t>KADOSH INTERNATIONAL BUSINESS PLC</t>
        </is>
      </c>
    </row>
    <row r="1415">
      <c r="H1415" s="26" t="inlineStr">
        <is>
          <t>KAF GENERAL TRADING PLC</t>
        </is>
      </c>
    </row>
    <row r="1416">
      <c r="H1416" s="26" t="inlineStr">
        <is>
          <t>KAHEL GENERAL BUSINESS PLC</t>
        </is>
      </c>
    </row>
    <row r="1417">
      <c r="H1417" s="26" t="inlineStr">
        <is>
          <t>KAHSAY BERHE WELEKIDAN</t>
        </is>
      </c>
    </row>
    <row r="1418">
      <c r="H1418" s="26" t="inlineStr">
        <is>
          <t>KAHSAY WSELASSIE</t>
        </is>
      </c>
    </row>
    <row r="1419">
      <c r="H1419" s="26" t="inlineStr">
        <is>
          <t>KAISHENG MATTRESS MANUFACTURING PLC</t>
        </is>
      </c>
    </row>
    <row r="1420">
      <c r="H1420" s="26" t="inlineStr">
        <is>
          <t>KAL LOGISTIC AND TRADING (TSEGAYE DEJENE)</t>
        </is>
      </c>
    </row>
    <row r="1421">
      <c r="H1421" s="26" t="inlineStr">
        <is>
          <t>KAL LOGISTICS AND TRADING PLC</t>
        </is>
      </c>
    </row>
    <row r="1422">
      <c r="H1422" s="26" t="inlineStr">
        <is>
          <t>KALAYU MURUTS KIDANU</t>
        </is>
      </c>
    </row>
    <row r="1423">
      <c r="H1423" s="26" t="inlineStr">
        <is>
          <t>KALDIS COFFEE 2018-19</t>
        </is>
      </c>
    </row>
    <row r="1424">
      <c r="H1424" s="26" t="inlineStr">
        <is>
          <t>KALDIS COFFEE 2019</t>
        </is>
      </c>
    </row>
    <row r="1425">
      <c r="H1425" s="26" t="inlineStr">
        <is>
          <t>KALE TRADING ONE MEMBER PLC</t>
        </is>
      </c>
    </row>
    <row r="1426">
      <c r="H1426" s="26" t="inlineStr">
        <is>
          <t>KALEAB TRADING PLC</t>
        </is>
      </c>
    </row>
    <row r="1427">
      <c r="H1427" s="26" t="inlineStr">
        <is>
          <t>KALEAB YETIMIRT MEAKEL</t>
        </is>
      </c>
    </row>
    <row r="1428">
      <c r="H1428" s="26" t="inlineStr">
        <is>
          <t>KALEB ABEBE BURKA</t>
        </is>
      </c>
    </row>
    <row r="1429">
      <c r="H1429" s="26" t="inlineStr">
        <is>
          <t>KALEB HOTEL</t>
        </is>
      </c>
    </row>
    <row r="1430">
      <c r="H1430" s="26" t="inlineStr">
        <is>
          <t>KALEB TADESSE WARGA</t>
        </is>
      </c>
    </row>
    <row r="1431">
      <c r="H1431" s="26" t="inlineStr">
        <is>
          <t>KALID ZEYNU</t>
        </is>
      </c>
    </row>
    <row r="1432">
      <c r="H1432" s="26" t="inlineStr">
        <is>
          <t>KALKIDAN MESHESHA GIZAW IMPORT AND EXPORT</t>
        </is>
      </c>
    </row>
    <row r="1433">
      <c r="H1433" s="26" t="inlineStr">
        <is>
          <t>KALMELKS ENGINEERING</t>
        </is>
      </c>
    </row>
    <row r="1434">
      <c r="H1434" s="26" t="inlineStr">
        <is>
          <t>KAPADUSHIYA RELE ESTATE SHARE COMPANY</t>
        </is>
      </c>
    </row>
    <row r="1435">
      <c r="H1435" s="26" t="inlineStr">
        <is>
          <t>KARALO ABATTOIR PRIVATE LIMITED COMPANY</t>
        </is>
      </c>
    </row>
    <row r="1436">
      <c r="H1436" s="26" t="inlineStr">
        <is>
          <t>KARAMARA RAS HOTEL</t>
        </is>
      </c>
    </row>
    <row r="1437">
      <c r="H1437" s="26" t="inlineStr">
        <is>
          <t>KARAVAN</t>
        </is>
      </c>
    </row>
    <row r="1438">
      <c r="H1438" s="26" t="inlineStr">
        <is>
          <t>KARE PHARMACEUTICALS PLC</t>
        </is>
      </c>
    </row>
    <row r="1439">
      <c r="H1439" s="26" t="inlineStr">
        <is>
          <t>KASAHUN GEBRE GEBRESELASSIE</t>
        </is>
      </c>
    </row>
    <row r="1440">
      <c r="H1440" s="26" t="inlineStr">
        <is>
          <t>KASAHUN HURISA TUFA</t>
        </is>
      </c>
    </row>
    <row r="1441">
      <c r="H1441" s="26" t="inlineStr">
        <is>
          <t>KASMEE TRADING PLC</t>
        </is>
      </c>
    </row>
    <row r="1442">
      <c r="H1442" s="26" t="inlineStr">
        <is>
          <t>KASSA MENGESH WEDAJO</t>
        </is>
      </c>
    </row>
    <row r="1443">
      <c r="H1443" s="26" t="inlineStr">
        <is>
          <t>KASSAHUN HAILEMARIAM GELETU</t>
        </is>
      </c>
    </row>
    <row r="1444">
      <c r="H1444" s="26" t="inlineStr">
        <is>
          <t>KASSECH WELDEMARIYAM DENDENA (C FUN ADDIS HOTEL)</t>
        </is>
      </c>
    </row>
    <row r="1445">
      <c r="H1445" s="26" t="inlineStr">
        <is>
          <t>KASSU DIBABA SEBANI</t>
        </is>
      </c>
    </row>
    <row r="1446">
      <c r="H1446" s="26" t="inlineStr">
        <is>
          <t>KATEGNA BAR AND RESTAURANT</t>
        </is>
      </c>
    </row>
    <row r="1447">
      <c r="H1447" s="26" t="inlineStr">
        <is>
          <t>KATEGNA BAR AND RESTAURANT 2018</t>
        </is>
      </c>
    </row>
    <row r="1448">
      <c r="H1448" s="26" t="inlineStr">
        <is>
          <t>KATEGNA BAR AND RESTAURANT PLC</t>
        </is>
      </c>
    </row>
    <row r="1449">
      <c r="H1449" s="26" t="inlineStr">
        <is>
          <t>KAYON TRADING</t>
        </is>
      </c>
    </row>
    <row r="1450">
      <c r="H1450" s="26" t="inlineStr">
        <is>
          <t>KAYROS GENERAL TRADING PLC</t>
        </is>
      </c>
    </row>
    <row r="1451">
      <c r="H1451" s="26" t="inlineStr">
        <is>
          <t>KAZ TRADING PLC</t>
        </is>
      </c>
    </row>
    <row r="1452">
      <c r="H1452" s="26" t="inlineStr">
        <is>
          <t>KEARYAM BUSINESS GROUP PLC</t>
        </is>
      </c>
    </row>
    <row r="1453">
      <c r="H1453" s="26" t="inlineStr">
        <is>
          <t>KEBEDE KIGU(EYANA HOTEL)</t>
        </is>
      </c>
    </row>
    <row r="1454">
      <c r="H1454" s="26" t="inlineStr">
        <is>
          <t>KEBEDE MIRACH KIDANE(KANA INDUSTRY AND TRADE)</t>
        </is>
      </c>
    </row>
    <row r="1455">
      <c r="H1455" s="26" t="inlineStr">
        <is>
          <t>KEBEDE SHUFER HABTE</t>
        </is>
      </c>
    </row>
    <row r="1456">
      <c r="H1456" s="26" t="inlineStr">
        <is>
          <t>KEBEDE WANTOLO DEME</t>
        </is>
      </c>
    </row>
    <row r="1457">
      <c r="H1457" s="26" t="inlineStr">
        <is>
          <t>KEBEKI SUPER MARKET</t>
        </is>
      </c>
    </row>
    <row r="1458">
      <c r="H1458" s="26" t="inlineStr">
        <is>
          <t>KEBIR COFFEE TRADING PLC</t>
        </is>
      </c>
    </row>
    <row r="1459">
      <c r="H1459" s="26" t="inlineStr">
        <is>
          <t>KEBRON GUEST HOUSE</t>
        </is>
      </c>
    </row>
    <row r="1460">
      <c r="H1460" s="26" t="inlineStr">
        <is>
          <t>KECHEN AMBA TRADING PLC</t>
        </is>
      </c>
    </row>
    <row r="1461">
      <c r="H1461" s="26" t="inlineStr">
        <is>
          <t>KEDIR MONJOR WAKO(REHOBOTH GENERAL HOSPITAL)</t>
        </is>
      </c>
    </row>
    <row r="1462">
      <c r="H1462" s="26" t="inlineStr">
        <is>
          <t>KEFELEGNE NEGA DEMBEL</t>
        </is>
      </c>
    </row>
    <row r="1463">
      <c r="H1463" s="26" t="inlineStr">
        <is>
          <t>KEHALE CAFE</t>
        </is>
      </c>
    </row>
    <row r="1464">
      <c r="H1464" s="26" t="inlineStr">
        <is>
          <t>KEKU RESTAURANT PLC</t>
        </is>
      </c>
    </row>
    <row r="1465">
      <c r="H1465" s="26" t="inlineStr">
        <is>
          <t>KELEMWORK TRADING PLC</t>
        </is>
      </c>
    </row>
    <row r="1466">
      <c r="H1466" s="26" t="inlineStr">
        <is>
          <t>KEN BON TRADING PLC</t>
        </is>
      </c>
    </row>
    <row r="1467">
      <c r="H1467" s="26" t="inlineStr">
        <is>
          <t>KENDURA TRADING PLC</t>
        </is>
      </c>
    </row>
    <row r="1468">
      <c r="H1468" s="26" t="inlineStr">
        <is>
          <t>KENENI REGASSA DoNO</t>
        </is>
      </c>
    </row>
    <row r="1469">
      <c r="H1469" s="26" t="inlineStr">
        <is>
          <t>KENENISSA HOTEL</t>
        </is>
      </c>
    </row>
    <row r="1470">
      <c r="H1470" s="26" t="inlineStr">
        <is>
          <t>KENERA INTERNATIONAL TRADING PLC</t>
        </is>
      </c>
    </row>
    <row r="1471">
      <c r="H1471" s="26" t="inlineStr">
        <is>
          <t>KER EZHT ETHIOPIA LEATHER MANUFACTARING</t>
        </is>
      </c>
    </row>
    <row r="1472">
      <c r="H1472" s="26" t="inlineStr">
        <is>
          <t>KERAWD INTERNATIONAL HOTEL</t>
        </is>
      </c>
    </row>
    <row r="1473">
      <c r="H1473" s="26" t="inlineStr">
        <is>
          <t>KERCHANSHE TRADING PLC</t>
        </is>
      </c>
    </row>
    <row r="1474">
      <c r="H1474" s="26" t="inlineStr">
        <is>
          <t>KEREYU HILL RESORT AND HOTEL</t>
        </is>
      </c>
    </row>
    <row r="1475">
      <c r="H1475" s="26" t="inlineStr">
        <is>
          <t>KERSAY HOTEL</t>
        </is>
      </c>
    </row>
    <row r="1476">
      <c r="H1476" s="26" t="inlineStr">
        <is>
          <t>KERTINA ADDIS RESTAURANT PLC</t>
        </is>
      </c>
    </row>
    <row r="1477">
      <c r="H1477" s="26" t="inlineStr">
        <is>
          <t>KEST TRADING PLC</t>
        </is>
      </c>
    </row>
    <row r="1478">
      <c r="H1478" s="26" t="inlineStr">
        <is>
          <t>KETEMA BORENA TURA</t>
        </is>
      </c>
    </row>
    <row r="1479">
      <c r="H1479" s="26" t="inlineStr">
        <is>
          <t>KETEMAG</t>
        </is>
      </c>
    </row>
    <row r="1480">
      <c r="H1480" s="26" t="inlineStr">
        <is>
          <t>KEY BRIDGE TRADING PLC</t>
        </is>
      </c>
    </row>
    <row r="1481">
      <c r="H1481" s="26" t="inlineStr">
        <is>
          <t>KEY ENGINEERING PLC</t>
        </is>
      </c>
    </row>
    <row r="1482">
      <c r="H1482" s="26" t="inlineStr">
        <is>
          <t>KEY HOUSING FINANCE SOLUTION PLC</t>
        </is>
      </c>
    </row>
    <row r="1483">
      <c r="H1483" s="26" t="inlineStr">
        <is>
          <t>KF SISTERS PLC</t>
        </is>
      </c>
    </row>
    <row r="1484">
      <c r="H1484" s="26" t="inlineStr">
        <is>
          <t>KH PHARMACY</t>
        </is>
      </c>
    </row>
    <row r="1485">
      <c r="H1485" s="26" t="inlineStr">
        <is>
          <t>KHALMO ENERGIES PLC</t>
        </is>
      </c>
    </row>
    <row r="1486">
      <c r="H1486" s="26" t="inlineStr">
        <is>
          <t>KIBREALEM EMBAYE SISAY</t>
        </is>
      </c>
    </row>
    <row r="1487">
      <c r="H1487" s="26" t="inlineStr">
        <is>
          <t>KIBROM NEGASH TEKELU</t>
        </is>
      </c>
    </row>
    <row r="1488">
      <c r="H1488" s="26" t="inlineStr">
        <is>
          <t>KIBRU TESFAYE MINUTE</t>
        </is>
      </c>
    </row>
    <row r="1489">
      <c r="H1489" s="26" t="inlineStr">
        <is>
          <t>KIDANEMIHIRET PHARMACY</t>
        </is>
      </c>
    </row>
    <row r="1490">
      <c r="H1490" s="26" t="inlineStr">
        <is>
          <t>KIDIST LEMA BEZABEH(HANOT KITCHEN)</t>
        </is>
      </c>
    </row>
    <row r="1491">
      <c r="H1491" s="26" t="inlineStr">
        <is>
          <t>KIDIST LEMA BEZABIH</t>
        </is>
      </c>
    </row>
    <row r="1492">
      <c r="H1492" s="26" t="inlineStr">
        <is>
          <t>KIDIST MENGESHA(DADA MALL)</t>
        </is>
      </c>
    </row>
    <row r="1493">
      <c r="H1493" s="26" t="inlineStr">
        <is>
          <t>KIDST MESFN TESEMA (FIKRE CONSPAGNA)</t>
        </is>
      </c>
    </row>
    <row r="1494">
      <c r="H1494" s="26" t="inlineStr">
        <is>
          <t>KIFIYA FINANCIAL TECHNOLOGY PLC</t>
        </is>
      </c>
    </row>
    <row r="1495">
      <c r="H1495" s="26" t="inlineStr">
        <is>
          <t>KINDE ABTEW GETENET</t>
        </is>
      </c>
    </row>
    <row r="1496">
      <c r="H1496" s="26" t="inlineStr">
        <is>
          <t>KINDE BELETE KASSA</t>
        </is>
      </c>
    </row>
    <row r="1497">
      <c r="H1497" s="26" t="inlineStr">
        <is>
          <t>KINETIC DOWN MULTIMEDIA PLC</t>
        </is>
      </c>
    </row>
    <row r="1498">
      <c r="H1498" s="26" t="inlineStr">
        <is>
          <t>KINGDOM BUSINESS PLC</t>
        </is>
      </c>
    </row>
    <row r="1499">
      <c r="H1499" s="26" t="inlineStr">
        <is>
          <t>KINGS HOTEL</t>
        </is>
      </c>
    </row>
    <row r="1500">
      <c r="H1500" s="26" t="inlineStr">
        <is>
          <t>KISBEAEL TRADING PLC</t>
        </is>
      </c>
    </row>
    <row r="1501">
      <c r="H1501" s="26" t="inlineStr">
        <is>
          <t>KISHEN TRADING PLC</t>
        </is>
      </c>
    </row>
    <row r="1502">
      <c r="H1502" s="26" t="inlineStr">
        <is>
          <t>KISS RIVER BAR AND RESTORANT ONE MEMBER PLC</t>
        </is>
      </c>
    </row>
    <row r="1503">
      <c r="H1503" s="26" t="inlineStr">
        <is>
          <t>KITCHIN HUB TRADING PLC</t>
        </is>
      </c>
    </row>
    <row r="1504">
      <c r="H1504" s="26" t="inlineStr">
        <is>
          <t>KITSLE HOTEL</t>
        </is>
      </c>
    </row>
    <row r="1505">
      <c r="H1505" s="26" t="inlineStr">
        <is>
          <t>KIYA TRANSPORT PLC</t>
        </is>
      </c>
    </row>
    <row r="1506">
      <c r="H1506" s="26" t="inlineStr">
        <is>
          <t>KLEANEX TRADING PLC</t>
        </is>
      </c>
    </row>
    <row r="1507">
      <c r="H1507" s="26" t="inlineStr">
        <is>
          <t>KOKEB FLOUR PASTA FACTORY PLC</t>
        </is>
      </c>
    </row>
    <row r="1508">
      <c r="H1508" s="26" t="inlineStr">
        <is>
          <t>KOKO BIOTECHNOLOGY MANUFACTURING PLC</t>
        </is>
      </c>
    </row>
    <row r="1509">
      <c r="H1509" s="26" t="inlineStr">
        <is>
          <t>KOLFE KERANIYO SUB CITY WORDA 5 PUBLIC SHOP</t>
        </is>
      </c>
    </row>
    <row r="1510">
      <c r="H1510" s="26" t="inlineStr">
        <is>
          <t>KOLYA MANUFACTURING SC</t>
        </is>
      </c>
    </row>
    <row r="1511">
      <c r="H1511" s="26" t="inlineStr">
        <is>
          <t>KOMBOLCHA STEEL PRODUCT INDUSTRY PLC</t>
        </is>
      </c>
    </row>
    <row r="1512">
      <c r="H1512" s="26" t="inlineStr">
        <is>
          <t>KONSO EDGET HOTEL(DULA KUSE KERA)</t>
        </is>
      </c>
    </row>
    <row r="1513">
      <c r="H1513" s="26" t="inlineStr">
        <is>
          <t>KORMA GRILL PLC</t>
        </is>
      </c>
    </row>
    <row r="1514">
      <c r="H1514" s="26" t="inlineStr">
        <is>
          <t>KRONES LCS CENTER EAST AFRICA LTD - ETHIOPIA BRANC</t>
        </is>
      </c>
    </row>
    <row r="1515">
      <c r="H1515" s="26" t="inlineStr">
        <is>
          <t>KSP TRADING</t>
        </is>
      </c>
    </row>
    <row r="1516">
      <c r="H1516" s="26" t="inlineStr">
        <is>
          <t>KTN PLC</t>
        </is>
      </c>
    </row>
    <row r="1517">
      <c r="H1517" s="26" t="inlineStr">
        <is>
          <t>KUMLACHEW GEBRESELASSIE KEREI</t>
        </is>
      </c>
    </row>
    <row r="1518">
      <c r="H1518" s="26" t="inlineStr">
        <is>
          <t>KURIFTU RESORTS</t>
        </is>
      </c>
    </row>
    <row r="1519">
      <c r="H1519" s="26" t="inlineStr">
        <is>
          <t>KURTU INTERNATIONAL PLC</t>
        </is>
      </c>
    </row>
    <row r="1520">
      <c r="H1520" s="26" t="inlineStr">
        <is>
          <t>KYT TRADING (AFRO ADDIS HOTEL)</t>
        </is>
      </c>
    </row>
    <row r="1521">
      <c r="H1521" s="26" t="inlineStr">
        <is>
          <t>KYT TRADING PLC</t>
        </is>
      </c>
    </row>
    <row r="1522">
      <c r="H1522" s="26" t="inlineStr">
        <is>
          <t>KYZ-ALUMINUM AND GLASS W</t>
        </is>
      </c>
    </row>
    <row r="1523">
      <c r="H1523" s="26" t="inlineStr">
        <is>
          <t>KZ FAMILIY PLC</t>
        </is>
      </c>
    </row>
    <row r="1524">
      <c r="H1524" s="26" t="inlineStr">
        <is>
          <t>L AND Z HOTEL PLC</t>
        </is>
      </c>
    </row>
    <row r="1525">
      <c r="H1525" s="26" t="inlineStr">
        <is>
          <t>L'AQUILA RESIDENTIAL HOTEL</t>
        </is>
      </c>
    </row>
    <row r="1526">
      <c r="H1526" s="26" t="inlineStr">
        <is>
          <t>LA NOUVELLE CAFE AND RESTAURANT PLC</t>
        </is>
      </c>
    </row>
    <row r="1527">
      <c r="H1527" s="26" t="inlineStr">
        <is>
          <t>LAKE TANA RESTURANT PLC</t>
        </is>
      </c>
    </row>
    <row r="1528">
      <c r="H1528" s="26" t="inlineStr">
        <is>
          <t>LAL BUSINESS HOUSE PLC</t>
        </is>
      </c>
    </row>
    <row r="1529">
      <c r="H1529" s="26" t="inlineStr">
        <is>
          <t>LALEO INTERNATIONAL LANGUAGE CENTER PLC</t>
        </is>
      </c>
    </row>
    <row r="1530">
      <c r="H1530" s="26" t="inlineStr">
        <is>
          <t>LALISE BOTORU BENTI</t>
        </is>
      </c>
    </row>
    <row r="1531">
      <c r="H1531" s="26" t="inlineStr">
        <is>
          <t>LALO LAND TRADING PLC</t>
        </is>
      </c>
    </row>
    <row r="1532">
      <c r="H1532" s="26" t="inlineStr">
        <is>
          <t>LAME DAIRY PLC</t>
        </is>
      </c>
    </row>
    <row r="1533">
      <c r="H1533" s="26" t="inlineStr">
        <is>
          <t>LANCET CAFE AND RESTURANT</t>
        </is>
      </c>
    </row>
    <row r="1534">
      <c r="H1534" s="26" t="inlineStr">
        <is>
          <t>LANCET HEALTH SERVICES PLC</t>
        </is>
      </c>
    </row>
    <row r="1535">
      <c r="H1535" s="26" t="inlineStr">
        <is>
          <t>LANGANO HEALTH CARE PLC</t>
        </is>
      </c>
    </row>
    <row r="1536">
      <c r="H1536" s="26" t="inlineStr">
        <is>
          <t>LAPTHO MALL</t>
        </is>
      </c>
    </row>
    <row r="1537">
      <c r="H1537" s="26" t="inlineStr">
        <is>
          <t>LAPTO LIFE PROPERTIES</t>
        </is>
      </c>
    </row>
    <row r="1538">
      <c r="H1538" s="26" t="inlineStr">
        <is>
          <t>LAVENDER TRADING PLC</t>
        </is>
      </c>
    </row>
    <row r="1539">
      <c r="H1539" s="26" t="inlineStr">
        <is>
          <t>LE CHATEAU IMPORT AND EXPORT PLC</t>
        </is>
      </c>
    </row>
    <row r="1540">
      <c r="H1540" s="26" t="inlineStr">
        <is>
          <t>LE CHATUA IMPORT &amp; EXPORT</t>
        </is>
      </c>
    </row>
    <row r="1541">
      <c r="H1541" s="26" t="inlineStr">
        <is>
          <t>LEA ASSOCIATES SOUTH ASIA PLC</t>
        </is>
      </c>
    </row>
    <row r="1542">
      <c r="H1542" s="26" t="inlineStr">
        <is>
          <t>LEADCOM NETWORK SERVICE</t>
        </is>
      </c>
    </row>
    <row r="1543">
      <c r="H1543" s="26" t="inlineStr">
        <is>
          <t>LEADING TOURISM SERVICES PLC</t>
        </is>
      </c>
    </row>
    <row r="1544">
      <c r="H1544" s="26" t="inlineStr">
        <is>
          <t>LEAN HEALTHCARE SOLUTON PLC</t>
        </is>
      </c>
    </row>
    <row r="1545">
      <c r="H1545" s="26" t="inlineStr">
        <is>
          <t>LEBAWI ACADEMY SHARE COMPANY</t>
        </is>
      </c>
    </row>
    <row r="1546">
      <c r="H1546" s="26" t="inlineStr">
        <is>
          <t>LEBEZA PSYCHHIATRY CONSULTATION PLC</t>
        </is>
      </c>
    </row>
    <row r="1547">
      <c r="H1547" s="26" t="inlineStr">
        <is>
          <t>LEBUKIYA REALSTATE PLC</t>
        </is>
      </c>
    </row>
    <row r="1548">
      <c r="H1548" s="26" t="inlineStr">
        <is>
          <t>LEEZA COSMOTICS MANUFACTURING ONE MEMBER PLC</t>
        </is>
      </c>
    </row>
    <row r="1549">
      <c r="H1549" s="26" t="inlineStr">
        <is>
          <t>LEGESSE FEYISSA HABIB</t>
        </is>
      </c>
    </row>
    <row r="1550">
      <c r="H1550" s="26" t="inlineStr">
        <is>
          <t>LEGESSE LEMISO HIDAMO(BURKITO HOTEL)</t>
        </is>
      </c>
    </row>
    <row r="1551">
      <c r="H1551" s="26" t="inlineStr">
        <is>
          <t>LEGETAFO MANUFACTURING PLC</t>
        </is>
      </c>
    </row>
    <row r="1552">
      <c r="H1552" s="26" t="inlineStr">
        <is>
          <t>LEHUL TRADING PLC</t>
        </is>
      </c>
    </row>
    <row r="1553">
      <c r="H1553" s="26" t="inlineStr">
        <is>
          <t>LEM HOTEL PLC</t>
        </is>
      </c>
    </row>
    <row r="1554">
      <c r="H1554" s="26" t="inlineStr">
        <is>
          <t>LEMA ABEBAW TESHOME  (LA HOTEL &amp; SPA)</t>
        </is>
      </c>
    </row>
    <row r="1555">
      <c r="H1555" s="26" t="inlineStr">
        <is>
          <t>LEMI GELAN DONI XINJIANG RESTAURANT</t>
        </is>
      </c>
    </row>
    <row r="1556">
      <c r="H1556" s="26" t="inlineStr">
        <is>
          <t>LEMLEM GEBREGIORORGIS</t>
        </is>
      </c>
    </row>
    <row r="1557">
      <c r="H1557" s="26" t="inlineStr">
        <is>
          <t>LENSA ESHETU KITIL(HAWI PIZA AND RESTAURANT)</t>
        </is>
      </c>
    </row>
    <row r="1558">
      <c r="H1558" s="26" t="inlineStr">
        <is>
          <t>LEOS EDIBLE OIL AND SOYA PRODUCT</t>
        </is>
      </c>
    </row>
    <row r="1559">
      <c r="H1559" s="26" t="inlineStr">
        <is>
          <t>LEUL MERESSA YALEMSHET</t>
        </is>
      </c>
    </row>
    <row r="1560">
      <c r="H1560" s="26" t="inlineStr">
        <is>
          <t>LEULSEGED MESELE MENGESHA PLC</t>
        </is>
      </c>
    </row>
    <row r="1561">
      <c r="H1561" s="26" t="inlineStr">
        <is>
          <t>LEVEL UP TRADE AND MANUFACTURING PLC</t>
        </is>
      </c>
    </row>
    <row r="1562">
      <c r="H1562" s="26" t="inlineStr">
        <is>
          <t>LEVER TRADING PLC</t>
        </is>
      </c>
    </row>
    <row r="1563">
      <c r="H1563" s="26" t="inlineStr">
        <is>
          <t>LEWI DB TEST</t>
        </is>
      </c>
    </row>
    <row r="1564">
      <c r="H1564" s="26" t="inlineStr">
        <is>
          <t>LEWI GENERAL TRADING PLC</t>
        </is>
      </c>
    </row>
    <row r="1565">
      <c r="H1565" s="26" t="inlineStr">
        <is>
          <t>LEWI IMPORT AND EXPORT</t>
        </is>
      </c>
    </row>
    <row r="1566">
      <c r="H1566" s="26" t="inlineStr">
        <is>
          <t>LEYAN TRADING PLC</t>
        </is>
      </c>
    </row>
    <row r="1567">
      <c r="H1567" s="26" t="inlineStr">
        <is>
          <t>LF HOTEL PLC</t>
        </is>
      </c>
    </row>
    <row r="1568">
      <c r="H1568" s="26" t="inlineStr">
        <is>
          <t>LI JINWANG</t>
        </is>
      </c>
    </row>
    <row r="1569">
      <c r="H1569" s="26" t="inlineStr">
        <is>
          <t>LICA PLC</t>
        </is>
      </c>
    </row>
    <row r="1570">
      <c r="H1570" s="26" t="inlineStr">
        <is>
          <t>LIKE MEGARSA BATU</t>
        </is>
      </c>
    </row>
    <row r="1571">
      <c r="H1571" s="26" t="inlineStr">
        <is>
          <t>LIMITLESS TRADING PLC</t>
        </is>
      </c>
    </row>
    <row r="1572">
      <c r="H1572" s="26" t="inlineStr">
        <is>
          <t>LINE ADDIS CONSULTANCY PLC</t>
        </is>
      </c>
    </row>
    <row r="1573">
      <c r="H1573" s="26" t="inlineStr">
        <is>
          <t>LINE BEZA ADVERTISING</t>
        </is>
      </c>
    </row>
    <row r="1574">
      <c r="H1574" s="26" t="inlineStr">
        <is>
          <t>LION PHARMACY S.C</t>
        </is>
      </c>
    </row>
    <row r="1575">
      <c r="H1575" s="26" t="inlineStr">
        <is>
          <t>LIONFORTH GROUP PLC</t>
        </is>
      </c>
    </row>
    <row r="1576">
      <c r="H1576" s="26" t="inlineStr">
        <is>
          <t>LIONS GATE LOUNGE PLC</t>
        </is>
      </c>
    </row>
    <row r="1577">
      <c r="H1577" s="26" t="inlineStr">
        <is>
          <t>LISAK RESORT</t>
        </is>
      </c>
    </row>
    <row r="1578">
      <c r="H1578" s="26" t="inlineStr">
        <is>
          <t>LITTLE ITALY TRADING PLC</t>
        </is>
      </c>
    </row>
    <row r="1579">
      <c r="H1579" s="26" t="inlineStr">
        <is>
          <t>LIYANA HEALTH PLC</t>
        </is>
      </c>
    </row>
    <row r="1580">
      <c r="H1580" s="26" t="inlineStr">
        <is>
          <t>LOFT HOTEL</t>
        </is>
      </c>
    </row>
    <row r="1581">
      <c r="H1581" s="26" t="inlineStr">
        <is>
          <t>LOGIHUB TRADING PLC</t>
        </is>
      </c>
    </row>
    <row r="1582">
      <c r="H1582" s="26" t="inlineStr">
        <is>
          <t>LOGITECH COMPUTER TRADING PLC</t>
        </is>
      </c>
    </row>
    <row r="1583">
      <c r="H1583" s="26" t="inlineStr">
        <is>
          <t>LOGO HAIK RESORT</t>
        </is>
      </c>
    </row>
    <row r="1584">
      <c r="H1584" s="26" t="inlineStr">
        <is>
          <t>LOLY PHARMACY</t>
        </is>
      </c>
    </row>
    <row r="1585">
      <c r="H1585" s="26" t="inlineStr">
        <is>
          <t>LOMIAD SUPERMARKET</t>
        </is>
      </c>
    </row>
    <row r="1586">
      <c r="H1586" s="26" t="inlineStr">
        <is>
          <t>LONG MARCH ELECTRICAL EQUIPMENT MANUFACTURING PLC</t>
        </is>
      </c>
    </row>
    <row r="1587">
      <c r="H1587" s="26" t="inlineStr">
        <is>
          <t>LONI AGRO 2018</t>
        </is>
      </c>
    </row>
    <row r="1588">
      <c r="H1588" s="26" t="inlineStr">
        <is>
          <t>LONI AGRO INDUSTRY</t>
        </is>
      </c>
    </row>
    <row r="1589">
      <c r="H1589" s="26" t="inlineStr">
        <is>
          <t>LOUVRE HOTEL AND TOUR OPERATION</t>
        </is>
      </c>
    </row>
    <row r="1590">
      <c r="H1590" s="26" t="inlineStr">
        <is>
          <t>LT TRADING PLC</t>
        </is>
      </c>
    </row>
    <row r="1591">
      <c r="H1591" s="26" t="inlineStr">
        <is>
          <t>LUBABA ABDI SUPERMARKET (AFRAN SUPERMARKET)</t>
        </is>
      </c>
    </row>
    <row r="1592">
      <c r="H1592" s="26" t="inlineStr">
        <is>
          <t>LUCID TRADING PLC</t>
        </is>
      </c>
    </row>
    <row r="1593">
      <c r="H1593" s="26" t="inlineStr">
        <is>
          <t>LUCKY CAFE AND RESTAURANT</t>
        </is>
      </c>
    </row>
    <row r="1594">
      <c r="H1594" s="26" t="inlineStr">
        <is>
          <t>LUCY BAR</t>
        </is>
      </c>
    </row>
    <row r="1595">
      <c r="H1595" s="26" t="inlineStr">
        <is>
          <t>LUKY NET IMPORT</t>
        </is>
      </c>
    </row>
    <row r="1596">
      <c r="H1596" s="26" t="inlineStr">
        <is>
          <t>LULO COFFEE EXPORT</t>
        </is>
      </c>
    </row>
    <row r="1597">
      <c r="H1597" s="26" t="inlineStr">
        <is>
          <t>LUMA BUSINESS GROUP PLC</t>
        </is>
      </c>
    </row>
    <row r="1598">
      <c r="H1598" s="26" t="inlineStr">
        <is>
          <t>LUMORA TRADING PLC</t>
        </is>
      </c>
    </row>
    <row r="1599">
      <c r="H1599" s="26" t="inlineStr">
        <is>
          <t>LUSAMEL TRADING</t>
        </is>
      </c>
    </row>
    <row r="1600">
      <c r="H1600" s="26" t="inlineStr">
        <is>
          <t>LUXURY AND POPULAR TRADING PLC</t>
        </is>
      </c>
    </row>
    <row r="1601">
      <c r="H1601" s="26" t="inlineStr">
        <is>
          <t>LYBORAPH MANUFACTURING PLC</t>
        </is>
      </c>
    </row>
    <row r="1602">
      <c r="H1602" s="26" t="inlineStr">
        <is>
          <t>M A D A BUSINESS PLC</t>
        </is>
      </c>
    </row>
    <row r="1603">
      <c r="H1603" s="26" t="inlineStr">
        <is>
          <t>M A ELECTRICAL TRADING PLC</t>
        </is>
      </c>
    </row>
    <row r="1604">
      <c r="H1604" s="26" t="inlineStr">
        <is>
          <t>M A N T PIZZA AND PASTA PLC</t>
        </is>
      </c>
    </row>
    <row r="1605">
      <c r="H1605" s="26" t="inlineStr">
        <is>
          <t>M I DOMESTIC EMPLOYMENT PROVIDING PLC</t>
        </is>
      </c>
    </row>
    <row r="1606">
      <c r="H1606" s="26" t="inlineStr">
        <is>
          <t>M I K REAL ESTAT PLC</t>
        </is>
      </c>
    </row>
    <row r="1607">
      <c r="H1607" s="26" t="inlineStr">
        <is>
          <t>M K A K TRADING PLC</t>
        </is>
      </c>
    </row>
    <row r="1608">
      <c r="H1608" s="26" t="inlineStr">
        <is>
          <t>M M G A TRADING PLC(THE NEST HOTEL)</t>
        </is>
      </c>
    </row>
    <row r="1609">
      <c r="H1609" s="26" t="inlineStr">
        <is>
          <t>M T H RESTAURANT ONE MEMBER PLC</t>
        </is>
      </c>
    </row>
    <row r="1610">
      <c r="H1610" s="26" t="inlineStr">
        <is>
          <t>MAC COMPUTERS PLC</t>
        </is>
      </c>
    </row>
    <row r="1611">
      <c r="H1611" s="26" t="inlineStr">
        <is>
          <t>MADLE S PARTS MACHINERIES AND EQUIPMENTS IMP PLC</t>
        </is>
      </c>
    </row>
    <row r="1612">
      <c r="H1612" s="26" t="inlineStr">
        <is>
          <t>MAEDOT REAL STATE PLC</t>
        </is>
      </c>
    </row>
    <row r="1613">
      <c r="H1613" s="26" t="inlineStr">
        <is>
          <t>MAEREG MANUFACTURING AND TRADING</t>
        </is>
      </c>
    </row>
    <row r="1614">
      <c r="H1614" s="26" t="inlineStr">
        <is>
          <t>MAG INTERNATIONAL PLC</t>
        </is>
      </c>
    </row>
    <row r="1615">
      <c r="H1615" s="26" t="inlineStr">
        <is>
          <t>MAG PLASTIC PLC</t>
        </is>
      </c>
    </row>
    <row r="1616">
      <c r="H1616" s="26" t="inlineStr">
        <is>
          <t>MAGER BUSSINESS GROUP PLC</t>
        </is>
      </c>
    </row>
    <row r="1617">
      <c r="H1617" s="26" t="inlineStr">
        <is>
          <t>MAGIC BURGER CORNER PLC</t>
        </is>
      </c>
    </row>
    <row r="1618">
      <c r="H1618" s="26" t="inlineStr">
        <is>
          <t>MAGIC BURGER PLC</t>
        </is>
      </c>
    </row>
    <row r="1619">
      <c r="H1619" s="26" t="inlineStr">
        <is>
          <t>MAGKHASE PLC</t>
        </is>
      </c>
    </row>
    <row r="1620">
      <c r="H1620" s="26" t="inlineStr">
        <is>
          <t>MAHAMED AMIN NUREADAM</t>
        </is>
      </c>
    </row>
    <row r="1621">
      <c r="H1621" s="26" t="inlineStr">
        <is>
          <t>MAHAMED HASSEN NUUR</t>
        </is>
      </c>
    </row>
    <row r="1622">
      <c r="H1622" s="26" t="inlineStr">
        <is>
          <t>MAHDER ALEMAYEHU BEJIGA</t>
        </is>
      </c>
    </row>
    <row r="1623">
      <c r="H1623" s="26" t="inlineStr">
        <is>
          <t>MAHIDER MEDIUM CLINIC</t>
        </is>
      </c>
    </row>
    <row r="1624">
      <c r="H1624" s="26" t="inlineStr">
        <is>
          <t>MAHIDEREMELEKOT TIGABE WERKNEH</t>
        </is>
      </c>
    </row>
    <row r="1625">
      <c r="H1625" s="26" t="inlineStr">
        <is>
          <t>MAHLET DEJENE BOTORU</t>
        </is>
      </c>
    </row>
    <row r="1626">
      <c r="H1626" s="26" t="inlineStr">
        <is>
          <t>MAHLET ZEGEYE GETACHEW</t>
        </is>
      </c>
    </row>
    <row r="1627">
      <c r="H1627" s="26" t="inlineStr">
        <is>
          <t>MAKEDA TAFER HOTEL</t>
        </is>
      </c>
    </row>
    <row r="1628">
      <c r="H1628" s="26" t="inlineStr">
        <is>
          <t>MAKOBU INTERPRISE PLC</t>
        </is>
      </c>
    </row>
    <row r="1629">
      <c r="H1629" s="26" t="inlineStr">
        <is>
          <t>MALEDA CAFE AND RESTAURANT</t>
        </is>
      </c>
    </row>
    <row r="1630">
      <c r="H1630" s="26" t="inlineStr">
        <is>
          <t>MALTT ENTERPRISE PLC</t>
        </is>
      </c>
    </row>
    <row r="1631">
      <c r="H1631" s="26" t="inlineStr">
        <is>
          <t>MAM TRADING PLC</t>
        </is>
      </c>
    </row>
    <row r="1632">
      <c r="H1632" s="26" t="inlineStr">
        <is>
          <t>MAMA'S KITCHEN</t>
        </is>
      </c>
    </row>
    <row r="1633">
      <c r="H1633" s="26" t="inlineStr">
        <is>
          <t>MAMARU ANTENEH AYALEW</t>
        </is>
      </c>
    </row>
    <row r="1634">
      <c r="H1634" s="26" t="inlineStr">
        <is>
          <t>MAMAY MEHERET NEGA</t>
        </is>
      </c>
    </row>
    <row r="1635">
      <c r="H1635" s="26" t="inlineStr">
        <is>
          <t>MAMAY WOLDETADIK WELDEGIYORGIS</t>
        </is>
      </c>
    </row>
    <row r="1636">
      <c r="H1636" s="26" t="inlineStr">
        <is>
          <t>MAME STEEL MILL PLC</t>
        </is>
      </c>
    </row>
    <row r="1637">
      <c r="H1637" s="26" t="inlineStr">
        <is>
          <t>MAMO KACHA PLC</t>
        </is>
      </c>
    </row>
    <row r="1638">
      <c r="H1638" s="26" t="inlineStr">
        <is>
          <t>MANA HAGOS WOLDU</t>
        </is>
      </c>
    </row>
    <row r="1639">
      <c r="H1639" s="26" t="inlineStr">
        <is>
          <t>MANAYE SENDEKU ALEMU</t>
        </is>
      </c>
    </row>
    <row r="1640">
      <c r="H1640" s="26" t="inlineStr">
        <is>
          <t>MANGESHA NIGUS TESFAY</t>
        </is>
      </c>
    </row>
    <row r="1641">
      <c r="H1641" s="26" t="inlineStr">
        <is>
          <t>MANNA COFFEE PLC</t>
        </is>
      </c>
    </row>
    <row r="1642">
      <c r="H1642" s="26" t="inlineStr">
        <is>
          <t>MANNA FAMILY TRADING PLC</t>
        </is>
      </c>
    </row>
    <row r="1643">
      <c r="H1643" s="26" t="inlineStr">
        <is>
          <t>MANRASHIWA HOTEL</t>
        </is>
      </c>
    </row>
    <row r="1644">
      <c r="H1644" s="26" t="inlineStr">
        <is>
          <t>MANUFACTURING TEST</t>
        </is>
      </c>
    </row>
    <row r="1645">
      <c r="H1645" s="26" t="inlineStr">
        <is>
          <t>MAPLE MANUFACTURING AND TRADING PLC</t>
        </is>
      </c>
    </row>
    <row r="1646">
      <c r="H1646" s="26" t="inlineStr">
        <is>
          <t>MARANATHA FARM PLC</t>
        </is>
      </c>
    </row>
    <row r="1647">
      <c r="H1647" s="26" t="inlineStr">
        <is>
          <t>MARCA TRADING PLC</t>
        </is>
      </c>
    </row>
    <row r="1648">
      <c r="H1648" s="26" t="inlineStr">
        <is>
          <t>MARCIA SURGICAL SPECIALITY CENTER</t>
        </is>
      </c>
    </row>
    <row r="1649">
      <c r="H1649" s="26" t="inlineStr">
        <is>
          <t>MARGINPAR ETHIOPIA PLC</t>
        </is>
      </c>
    </row>
    <row r="1650">
      <c r="H1650" s="26" t="inlineStr">
        <is>
          <t>MARIA LUISA FREZZA</t>
        </is>
      </c>
    </row>
    <row r="1651">
      <c r="H1651" s="26" t="inlineStr">
        <is>
          <t>MARK ADVERTISING PLC</t>
        </is>
      </c>
    </row>
    <row r="1652">
      <c r="H1652" s="26" t="inlineStr">
        <is>
          <t>MARK LAND HOTEL</t>
        </is>
      </c>
    </row>
    <row r="1653">
      <c r="H1653" s="26" t="inlineStr">
        <is>
          <t>MARKOS PLC</t>
        </is>
      </c>
    </row>
    <row r="1654">
      <c r="H1654" s="26" t="inlineStr">
        <is>
          <t>MARTA GURMECHA SHURA</t>
        </is>
      </c>
    </row>
    <row r="1655">
      <c r="H1655" s="26" t="inlineStr">
        <is>
          <t>MASBEZ PACKAGING PLC</t>
        </is>
      </c>
    </row>
    <row r="1656">
      <c r="H1656" s="26" t="inlineStr">
        <is>
          <t>MASSK CONSULTING P L C</t>
        </is>
      </c>
    </row>
    <row r="1657">
      <c r="H1657" s="26" t="inlineStr">
        <is>
          <t>MASTEWALE TEWOLDEBERHAN WOLDE SELASSIE</t>
        </is>
      </c>
    </row>
    <row r="1658">
      <c r="H1658" s="26" t="inlineStr">
        <is>
          <t>MATATRIM PTY LIMITED</t>
        </is>
      </c>
    </row>
    <row r="1659">
      <c r="H1659" s="26" t="inlineStr">
        <is>
          <t>MATHIOS  MEBA COSMETICS MANUFACTURING ONE MEMBER PLC</t>
        </is>
      </c>
    </row>
    <row r="1660">
      <c r="H1660" s="26" t="inlineStr">
        <is>
          <t>MATIAD SUPERMARKET PLC</t>
        </is>
      </c>
    </row>
    <row r="1661">
      <c r="H1661" s="26" t="inlineStr">
        <is>
          <t>MATIWOS MEKONNEN ZELEKE</t>
        </is>
      </c>
    </row>
    <row r="1662">
      <c r="H1662" s="26" t="inlineStr">
        <is>
          <t>MATIYAS YOHANNES SHEMELES(BELLA PASTA AND PIZZA)</t>
        </is>
      </c>
    </row>
    <row r="1663">
      <c r="H1663" s="26" t="inlineStr">
        <is>
          <t>MATSUKI JAPANESE RESTAURANT PLC</t>
        </is>
      </c>
    </row>
    <row r="1664">
      <c r="H1664" s="26" t="inlineStr">
        <is>
          <t>MATTA MANUFACTURING AND SERVICE PLC</t>
        </is>
      </c>
    </row>
    <row r="1665">
      <c r="H1665" s="26" t="inlineStr">
        <is>
          <t>MAWA COFFEE  AND ROASTER PLC</t>
        </is>
      </c>
    </row>
    <row r="1666">
      <c r="H1666" s="26" t="inlineStr">
        <is>
          <t>MAWI COFFEE AND GENERAL BUSINESS PLC</t>
        </is>
      </c>
    </row>
    <row r="1667">
      <c r="H1667" s="26" t="inlineStr">
        <is>
          <t>MAXAM ETHIOPIA EXPLOSIVE SERVICES ONE MEMBER PLC</t>
        </is>
      </c>
    </row>
    <row r="1668">
      <c r="H1668" s="26" t="inlineStr">
        <is>
          <t>MAXAMCORP INTERNATIONAL S L</t>
        </is>
      </c>
    </row>
    <row r="1669">
      <c r="H1669" s="26" t="inlineStr">
        <is>
          <t>MAY TECHNOLOGY PLC</t>
        </is>
      </c>
    </row>
    <row r="1670">
      <c r="H1670" s="26" t="inlineStr">
        <is>
          <t>MAYER MASSIKA MAYER</t>
        </is>
      </c>
    </row>
    <row r="1671">
      <c r="H1671" s="26" t="inlineStr">
        <is>
          <t>MAZ TRADING PLC</t>
        </is>
      </c>
    </row>
    <row r="1672">
      <c r="H1672" s="26" t="inlineStr">
        <is>
          <t>MCH LANCET HEALTH SERVICE PLC</t>
        </is>
      </c>
    </row>
    <row r="1673">
      <c r="H1673" s="26" t="inlineStr">
        <is>
          <t>MEBA METAL TRADING PLC</t>
        </is>
      </c>
    </row>
    <row r="1674">
      <c r="H1674" s="26" t="inlineStr">
        <is>
          <t>MEBRAT ALEMAYEHU WUBNEH</t>
        </is>
      </c>
    </row>
    <row r="1675">
      <c r="H1675" s="26" t="inlineStr">
        <is>
          <t>MEDHANIT ENDALE TEGEGN</t>
        </is>
      </c>
    </row>
    <row r="1676">
      <c r="H1676" s="26" t="inlineStr">
        <is>
          <t>MEDICURE MEDICINE AND MEDICAL DEVICES IMPORTER</t>
        </is>
      </c>
    </row>
    <row r="1677">
      <c r="H1677" s="26" t="inlineStr">
        <is>
          <t>MEDILAB MEDICAL EQUIPMENT SUPPLIES IMPORT</t>
        </is>
      </c>
    </row>
    <row r="1678">
      <c r="H1678" s="26" t="inlineStr">
        <is>
          <t>MEDTECH ETHIOPIA PLC</t>
        </is>
      </c>
    </row>
    <row r="1679">
      <c r="H1679" s="26" t="inlineStr">
        <is>
          <t>MEGA PRINTING PLC</t>
        </is>
      </c>
    </row>
    <row r="1680">
      <c r="H1680" s="26" t="inlineStr">
        <is>
          <t>MEGENAGNA PHARMACEUTICAL PLC</t>
        </is>
      </c>
    </row>
    <row r="1681">
      <c r="H1681" s="26" t="inlineStr">
        <is>
          <t>MEGERSA FEYSA WELASHE</t>
        </is>
      </c>
    </row>
    <row r="1682">
      <c r="H1682" s="26" t="inlineStr">
        <is>
          <t>MEGERSA MERGA MEGENTA</t>
        </is>
      </c>
    </row>
    <row r="1683">
      <c r="H1683" s="26" t="inlineStr">
        <is>
          <t>MEHARI ABREHA</t>
        </is>
      </c>
    </row>
    <row r="1684">
      <c r="H1684" s="26" t="inlineStr">
        <is>
          <t>MEHARI GEZAHEGN TAKELE</t>
        </is>
      </c>
    </row>
    <row r="1685">
      <c r="H1685" s="26" t="inlineStr">
        <is>
          <t>MEKA NISA KILATO</t>
        </is>
      </c>
    </row>
    <row r="1686">
      <c r="H1686" s="26" t="inlineStr">
        <is>
          <t>MEKDELAWIT NIGUSSU TEKLESALE</t>
        </is>
      </c>
    </row>
    <row r="1687">
      <c r="H1687" s="26" t="inlineStr">
        <is>
          <t>MEKDI PRODUCTION PLC</t>
        </is>
      </c>
    </row>
    <row r="1688">
      <c r="H1688" s="26" t="inlineStr">
        <is>
          <t>MEKEBEB SOLOMON</t>
        </is>
      </c>
    </row>
    <row r="1689">
      <c r="H1689" s="26" t="inlineStr">
        <is>
          <t>MEKETAYE GIRMA GEBREWOLD</t>
        </is>
      </c>
    </row>
    <row r="1690">
      <c r="H1690" s="26" t="inlineStr">
        <is>
          <t>MEKHS HOTEL PLC</t>
        </is>
      </c>
    </row>
    <row r="1691">
      <c r="H1691" s="26" t="inlineStr">
        <is>
          <t>MEKONEN URGA</t>
        </is>
      </c>
    </row>
    <row r="1692">
      <c r="H1692" s="26" t="inlineStr">
        <is>
          <t>MEKONNEN ALEM NEWAYEMARIAM</t>
        </is>
      </c>
    </row>
    <row r="1693">
      <c r="H1693" s="26" t="inlineStr">
        <is>
          <t>MEKONNEN BITEW CINEMA</t>
        </is>
      </c>
    </row>
    <row r="1694">
      <c r="H1694" s="26" t="inlineStr">
        <is>
          <t>MEKONNEN DERESE KEBEDE</t>
        </is>
      </c>
    </row>
    <row r="1695">
      <c r="H1695" s="26" t="inlineStr">
        <is>
          <t>MEKONNEN KIDANEMARIAM(REGENCY HOTEL)</t>
        </is>
      </c>
    </row>
    <row r="1696">
      <c r="H1696" s="26" t="inlineStr">
        <is>
          <t>MEKONNEN MENGISTU</t>
        </is>
      </c>
    </row>
    <row r="1697">
      <c r="H1697" s="26" t="inlineStr">
        <is>
          <t>MEKONNIN DEDEFO HINSENE(YEROKE CAFE AND RESTAURANT)</t>
        </is>
      </c>
    </row>
    <row r="1698">
      <c r="H1698" s="26" t="inlineStr">
        <is>
          <t>MEL TRADING</t>
        </is>
      </c>
    </row>
    <row r="1699">
      <c r="H1699" s="26" t="inlineStr">
        <is>
          <t>MEL TRADING PLC</t>
        </is>
      </c>
    </row>
    <row r="1700">
      <c r="H1700" s="26" t="inlineStr">
        <is>
          <t>MELA ALUMINIUM</t>
        </is>
      </c>
    </row>
    <row r="1701">
      <c r="H1701" s="26" t="inlineStr">
        <is>
          <t>MELAKU DESALEGN BONGERE</t>
        </is>
      </c>
    </row>
    <row r="1702">
      <c r="H1702" s="26" t="inlineStr">
        <is>
          <t>MELAKU FEYISA</t>
        </is>
      </c>
    </row>
    <row r="1703">
      <c r="H1703" s="26" t="inlineStr">
        <is>
          <t>MELAKU GUDINA</t>
        </is>
      </c>
    </row>
    <row r="1704">
      <c r="H1704" s="26" t="inlineStr">
        <is>
          <t>MELALA RETREAT HOTELS PLC</t>
        </is>
      </c>
    </row>
    <row r="1705">
      <c r="H1705" s="26" t="inlineStr">
        <is>
          <t>MELANI OL TRADING PLC</t>
        </is>
      </c>
    </row>
    <row r="1706">
      <c r="H1706" s="26" t="inlineStr">
        <is>
          <t>MELITIXE TRADING PLC</t>
        </is>
      </c>
    </row>
    <row r="1707">
      <c r="H1707" s="26" t="inlineStr">
        <is>
          <t>MELKA ADAMA HOTEL</t>
        </is>
      </c>
    </row>
    <row r="1708">
      <c r="H1708" s="26" t="inlineStr">
        <is>
          <t>MELKA NEDA STAR HOTEL SERVICE</t>
        </is>
      </c>
    </row>
    <row r="1709">
      <c r="H1709" s="26" t="inlineStr">
        <is>
          <t>MELKAM EYETA MEDICAL SERVICE PLC</t>
        </is>
      </c>
    </row>
    <row r="1710">
      <c r="H1710" s="26" t="inlineStr">
        <is>
          <t>MELKAM PSYCHO THERAPY PLC</t>
        </is>
      </c>
    </row>
    <row r="1711">
      <c r="H1711" s="26" t="inlineStr">
        <is>
          <t>MELO PLUS TRADING PLC</t>
        </is>
      </c>
    </row>
    <row r="1712">
      <c r="H1712" s="26" t="inlineStr">
        <is>
          <t>MEMORIAL MANUFACTURING PLC</t>
        </is>
      </c>
    </row>
    <row r="1713">
      <c r="H1713" s="26" t="inlineStr">
        <is>
          <t>MENANDA TRADING PLC</t>
        </is>
      </c>
    </row>
    <row r="1714">
      <c r="H1714" s="26" t="inlineStr">
        <is>
          <t>MENBERU ALULA</t>
        </is>
      </c>
    </row>
    <row r="1715">
      <c r="H1715" s="26" t="inlineStr">
        <is>
          <t>MENEBERE ALEMAYEHU LEDETU</t>
        </is>
      </c>
    </row>
    <row r="1716">
      <c r="H1716" s="26" t="inlineStr">
        <is>
          <t>MENEN HADISH GEBREMEDHIN</t>
        </is>
      </c>
    </row>
    <row r="1717">
      <c r="H1717" s="26" t="inlineStr">
        <is>
          <t>MENGISTU BIYER</t>
        </is>
      </c>
    </row>
    <row r="1718">
      <c r="H1718" s="26" t="inlineStr">
        <is>
          <t>MENGISTU ENDESHAW ASTAB</t>
        </is>
      </c>
    </row>
    <row r="1719">
      <c r="H1719" s="26" t="inlineStr">
        <is>
          <t>MENGISTU STATIONARY AND COMPUTER ACCESSORIES</t>
        </is>
      </c>
    </row>
    <row r="1720">
      <c r="H1720" s="26" t="inlineStr">
        <is>
          <t>MENHAR CONSTRUCTION</t>
        </is>
      </c>
    </row>
    <row r="1721">
      <c r="H1721" s="26" t="inlineStr">
        <is>
          <t>MENKEM INTERNATIONAL BUSINESS PLC</t>
        </is>
      </c>
    </row>
    <row r="1722">
      <c r="H1722" s="26" t="inlineStr">
        <is>
          <t>MENKIR GIRMA MEKONNEN</t>
        </is>
      </c>
    </row>
    <row r="1723">
      <c r="H1723" s="26" t="inlineStr">
        <is>
          <t>MENUR DELIL  REDI</t>
        </is>
      </c>
    </row>
    <row r="1724">
      <c r="H1724" s="26" t="inlineStr">
        <is>
          <t>MEQREZ HEALTH SERVICE PLC</t>
        </is>
      </c>
    </row>
    <row r="1725">
      <c r="H1725" s="26" t="inlineStr">
        <is>
          <t>MERGA ARARSO</t>
        </is>
      </c>
    </row>
    <row r="1726">
      <c r="H1726" s="26" t="inlineStr">
        <is>
          <t>MERHAWI TEKESTE TBEBU</t>
        </is>
      </c>
    </row>
    <row r="1727">
      <c r="H1727" s="26" t="inlineStr">
        <is>
          <t>MERIDIAM SAS ETHIOPIAN BRANCH</t>
        </is>
      </c>
    </row>
    <row r="1728">
      <c r="H1728" s="26" t="inlineStr">
        <is>
          <t>MERIDIAN HOTEL</t>
        </is>
      </c>
    </row>
    <row r="1729">
      <c r="H1729" s="26" t="inlineStr">
        <is>
          <t>MERON ASSEFA BEKELE</t>
        </is>
      </c>
    </row>
    <row r="1730">
      <c r="H1730" s="26" t="inlineStr">
        <is>
          <t>MERON MENGESHA BETRE</t>
        </is>
      </c>
    </row>
    <row r="1731">
      <c r="H1731" s="26" t="inlineStr">
        <is>
          <t>MERON SEID EBRE</t>
        </is>
      </c>
    </row>
    <row r="1732">
      <c r="H1732" s="26" t="inlineStr">
        <is>
          <t>MERRY SANITATION CHEMICALS MANUFACTURER</t>
        </is>
      </c>
    </row>
    <row r="1733">
      <c r="H1733" s="26" t="inlineStr">
        <is>
          <t>MESA DRINKING</t>
        </is>
      </c>
    </row>
    <row r="1734">
      <c r="H1734" s="26" t="inlineStr">
        <is>
          <t>MESANU METALS MANUFACTURING</t>
        </is>
      </c>
    </row>
    <row r="1735">
      <c r="H1735" s="26" t="inlineStr">
        <is>
          <t>MESERET CAFE AND RESTAURANT</t>
        </is>
      </c>
    </row>
    <row r="1736">
      <c r="H1736" s="26" t="inlineStr">
        <is>
          <t>MESERET GEBRE GIORGIS BARAKI</t>
        </is>
      </c>
    </row>
    <row r="1737">
      <c r="H1737" s="26" t="inlineStr">
        <is>
          <t>MESERET KIDANE BEYNE</t>
        </is>
      </c>
    </row>
    <row r="1738">
      <c r="H1738" s="26" t="inlineStr">
        <is>
          <t>MESERET MANUFACTURING</t>
        </is>
      </c>
    </row>
    <row r="1739">
      <c r="H1739" s="26" t="inlineStr">
        <is>
          <t>MESERET MELAKU YIRDAW</t>
        </is>
      </c>
    </row>
    <row r="1740">
      <c r="H1740" s="26" t="inlineStr">
        <is>
          <t>MESERET PLC</t>
        </is>
      </c>
    </row>
    <row r="1741">
      <c r="H1741" s="26" t="inlineStr">
        <is>
          <t>MESFIN MOGES</t>
        </is>
      </c>
    </row>
    <row r="1742">
      <c r="H1742" s="26" t="inlineStr">
        <is>
          <t>MESFIN TENKIR G.MARIAM</t>
        </is>
      </c>
    </row>
    <row r="1743">
      <c r="H1743" s="26" t="inlineStr">
        <is>
          <t>MESFIN WURGESSA</t>
        </is>
      </c>
    </row>
    <row r="1744">
      <c r="H1744" s="26" t="inlineStr">
        <is>
          <t>MESHESHA KASA WAKE</t>
        </is>
      </c>
    </row>
    <row r="1745">
      <c r="H1745" s="26" t="inlineStr">
        <is>
          <t>MESHOBYA FOOD COMPLEX</t>
        </is>
      </c>
    </row>
    <row r="1746">
      <c r="H1746" s="26" t="inlineStr">
        <is>
          <t>MESKEREM GADISA BAJI</t>
        </is>
      </c>
    </row>
    <row r="1747">
      <c r="H1747" s="26" t="inlineStr">
        <is>
          <t>MESKEREM SHEWANDAWU</t>
        </is>
      </c>
    </row>
    <row r="1748">
      <c r="H1748" s="26" t="inlineStr">
        <is>
          <t>MESP AFRICA BUSSINESS PLC</t>
        </is>
      </c>
    </row>
    <row r="1749">
      <c r="H1749" s="26" t="inlineStr">
        <is>
          <t>MESSAY HOTEL AND HOUSE RENT</t>
        </is>
      </c>
    </row>
    <row r="1750">
      <c r="H1750" s="26" t="inlineStr">
        <is>
          <t>MESSAY MEKONNEN TIKUYE</t>
        </is>
      </c>
    </row>
    <row r="1751">
      <c r="H1751" s="26" t="inlineStr">
        <is>
          <t>MESTAWOT KINDE RETA</t>
        </is>
      </c>
    </row>
    <row r="1752">
      <c r="H1752" s="26" t="inlineStr">
        <is>
          <t>MESTI TRADING COMPANY</t>
        </is>
      </c>
    </row>
    <row r="1753">
      <c r="H1753" s="26" t="inlineStr">
        <is>
          <t>MH LANGUAGE TRANING CENTER</t>
        </is>
      </c>
    </row>
    <row r="1754">
      <c r="H1754" s="26" t="inlineStr">
        <is>
          <t>MHDD PLC</t>
        </is>
      </c>
    </row>
    <row r="1755">
      <c r="H1755" s="26" t="inlineStr">
        <is>
          <t>MICHAEL GIRMA TAYE</t>
        </is>
      </c>
    </row>
    <row r="1756">
      <c r="H1756" s="26" t="inlineStr">
        <is>
          <t>MICHEL PETROS AMAR</t>
        </is>
      </c>
    </row>
    <row r="1757">
      <c r="H1757" s="26" t="inlineStr">
        <is>
          <t>MICHOTE GETANEH ASHENAFI</t>
        </is>
      </c>
    </row>
    <row r="1758">
      <c r="H1758" s="26" t="inlineStr">
        <is>
          <t>MICKEY GENERAL INVESTMENT PLC</t>
        </is>
      </c>
    </row>
    <row r="1759">
      <c r="H1759" s="26" t="inlineStr">
        <is>
          <t>MIDROC GOLD MINE PLC</t>
        </is>
      </c>
    </row>
    <row r="1760">
      <c r="H1760" s="26" t="inlineStr">
        <is>
          <t>MIGBARE SENAY GENERAL HOSPITAL</t>
        </is>
      </c>
    </row>
    <row r="1761">
      <c r="H1761" s="26" t="inlineStr">
        <is>
          <t>MIKIAS DENTAL SERVICE</t>
        </is>
      </c>
    </row>
    <row r="1762">
      <c r="H1762" s="26" t="inlineStr">
        <is>
          <t>MIKIYAS YOHANNES DEMEKE</t>
        </is>
      </c>
    </row>
    <row r="1763">
      <c r="H1763" s="26" t="inlineStr">
        <is>
          <t>MILION ADNEW BATTERY FACTORY</t>
        </is>
      </c>
    </row>
    <row r="1764">
      <c r="H1764" s="26" t="inlineStr">
        <is>
          <t>MILKI SUPERMARKET WORK PLC</t>
        </is>
      </c>
    </row>
    <row r="1765">
      <c r="H1765" s="26" t="inlineStr">
        <is>
          <t>MILKIS BAR AND RESTAURANT</t>
        </is>
      </c>
    </row>
    <row r="1766">
      <c r="H1766" s="26" t="inlineStr">
        <is>
          <t>MILKIYAS MANDEFRO GEBRESENBET</t>
        </is>
      </c>
    </row>
    <row r="1767">
      <c r="H1767" s="26" t="inlineStr">
        <is>
          <t>MILKOMI DEVELOPMENT ENGINEERING GROUP PLC</t>
        </is>
      </c>
    </row>
    <row r="1768">
      <c r="H1768" s="26" t="inlineStr">
        <is>
          <t>MILLENNIUM HEALTH CARE ENTERPRISE</t>
        </is>
      </c>
    </row>
    <row r="1769">
      <c r="H1769" s="26" t="inlineStr">
        <is>
          <t>MILLION ALEMU AND PARTNERS LEGAL SERVICES LLP</t>
        </is>
      </c>
    </row>
    <row r="1770">
      <c r="H1770" s="26" t="inlineStr">
        <is>
          <t>MILLION KIBRET BIRHANE</t>
        </is>
      </c>
    </row>
    <row r="1771">
      <c r="H1771" s="26" t="inlineStr">
        <is>
          <t>MILO PHARMACY</t>
        </is>
      </c>
    </row>
    <row r="1772">
      <c r="H1772" s="26" t="inlineStr">
        <is>
          <t>MILTO COMMERCIALS PLC</t>
        </is>
      </c>
    </row>
    <row r="1773">
      <c r="H1773" s="26" t="inlineStr">
        <is>
          <t>MIMI ESHATE GEDA</t>
        </is>
      </c>
    </row>
    <row r="1774">
      <c r="H1774" s="26" t="inlineStr">
        <is>
          <t>MIMI GUEST HOUSE</t>
        </is>
      </c>
    </row>
    <row r="1775">
      <c r="H1775" s="26" t="inlineStr">
        <is>
          <t>MIMY SEBLE KASSAHOUN ESHETE</t>
        </is>
      </c>
    </row>
    <row r="1776">
      <c r="H1776" s="26" t="inlineStr">
        <is>
          <t>MINE ETHIOPIA TRADING PLC</t>
        </is>
      </c>
    </row>
    <row r="1777">
      <c r="H1777" s="26" t="inlineStr">
        <is>
          <t>MINERVA INVESTEMENT PLC</t>
        </is>
      </c>
    </row>
    <row r="1778">
      <c r="H1778" s="26" t="inlineStr">
        <is>
          <t>MIRA TRADING ONE MEMBER PLC</t>
        </is>
      </c>
    </row>
    <row r="1779">
      <c r="H1779" s="26" t="inlineStr">
        <is>
          <t>MIRACLE HOTEL</t>
        </is>
      </c>
    </row>
    <row r="1780">
      <c r="H1780" s="26" t="inlineStr">
        <is>
          <t>MISBAH HUSSEN MOHAMED</t>
        </is>
      </c>
    </row>
    <row r="1781">
      <c r="H1781" s="26" t="inlineStr">
        <is>
          <t>MISGANA AND BILEN TRADING PLC</t>
        </is>
      </c>
    </row>
    <row r="1782">
      <c r="H1782" s="26" t="inlineStr">
        <is>
          <t>MISGANAW ALISO LELSHO</t>
        </is>
      </c>
    </row>
    <row r="1783">
      <c r="H1783" s="26" t="inlineStr">
        <is>
          <t>MISMAR GENERAL TRADING PLC</t>
        </is>
      </c>
    </row>
    <row r="1784">
      <c r="H1784" s="26" t="inlineStr">
        <is>
          <t>MISRAK ADDIS HOTEL</t>
        </is>
      </c>
    </row>
    <row r="1785">
      <c r="H1785" s="26" t="inlineStr">
        <is>
          <t>MISTER CHICKEN PLC</t>
        </is>
      </c>
    </row>
    <row r="1786">
      <c r="H1786" s="26" t="inlineStr">
        <is>
          <t>MIX CHEMICALS PLC</t>
        </is>
      </c>
    </row>
    <row r="1787">
      <c r="H1787" s="26" t="inlineStr">
        <is>
          <t>MIX RESTOURANT PLC</t>
        </is>
      </c>
    </row>
    <row r="1788">
      <c r="H1788" s="26" t="inlineStr">
        <is>
          <t>MIYA SARL</t>
        </is>
      </c>
    </row>
    <row r="1789">
      <c r="H1789" s="26" t="inlineStr">
        <is>
          <t>MIZAN SIBHATU WELDEGIORGIS</t>
        </is>
      </c>
    </row>
    <row r="1790">
      <c r="H1790" s="26" t="inlineStr">
        <is>
          <t>MKS RESTAURANT AND BAR</t>
        </is>
      </c>
    </row>
    <row r="1791">
      <c r="H1791" s="26" t="inlineStr">
        <is>
          <t>MLS TRADING PLC</t>
        </is>
      </c>
    </row>
    <row r="1792">
      <c r="H1792" s="26" t="inlineStr">
        <is>
          <t>MM HOTEL</t>
        </is>
      </c>
    </row>
    <row r="1793">
      <c r="H1793" s="26" t="inlineStr">
        <is>
          <t>MOBAILE SPIN VAS PLC</t>
        </is>
      </c>
    </row>
    <row r="1794">
      <c r="H1794" s="26" t="inlineStr">
        <is>
          <t>MODADE TRADING PLC</t>
        </is>
      </c>
    </row>
    <row r="1795">
      <c r="H1795" s="26" t="inlineStr">
        <is>
          <t>MODEM BUILDING INDUSTRY PLC</t>
        </is>
      </c>
    </row>
    <row r="1796">
      <c r="H1796" s="26" t="inlineStr">
        <is>
          <t>MODETH OUT SOURCE PLC</t>
        </is>
      </c>
    </row>
    <row r="1797">
      <c r="H1797" s="26" t="inlineStr">
        <is>
          <t>MOENCO SUBDEALER GIRMA AUTOMOTIVE GARAGE</t>
        </is>
      </c>
    </row>
    <row r="1798">
      <c r="H1798" s="26" t="inlineStr">
        <is>
          <t>MOGES ESTIFANOS WELDEMESKEL</t>
        </is>
      </c>
    </row>
    <row r="1799">
      <c r="H1799" s="26" t="inlineStr">
        <is>
          <t>MOGES KEBEDE KASAW</t>
        </is>
      </c>
    </row>
    <row r="1800">
      <c r="H1800" s="26" t="inlineStr">
        <is>
          <t>MOGUEH ABADID ATTAYEH</t>
        </is>
      </c>
    </row>
    <row r="1801">
      <c r="H1801" s="26" t="inlineStr">
        <is>
          <t>MOHALF TRADING PLC</t>
        </is>
      </c>
    </row>
    <row r="1802">
      <c r="H1802" s="26" t="inlineStr">
        <is>
          <t>MOHAMMED HUSSEIN HASSEN</t>
        </is>
      </c>
    </row>
    <row r="1803">
      <c r="H1803" s="26" t="inlineStr">
        <is>
          <t>MOHAMMED OSMAN</t>
        </is>
      </c>
    </row>
    <row r="1804">
      <c r="H1804" s="26" t="inlineStr">
        <is>
          <t>MOHAMMEDREJA KEDIR ADEM</t>
        </is>
      </c>
    </row>
    <row r="1805">
      <c r="H1805" s="26" t="inlineStr">
        <is>
          <t>MOLLA WORKENEH MEKONENE</t>
        </is>
      </c>
    </row>
    <row r="1806">
      <c r="H1806" s="26" t="inlineStr">
        <is>
          <t>MOLLA WORKENEHE</t>
        </is>
      </c>
    </row>
    <row r="1807">
      <c r="H1807" s="26" t="inlineStr">
        <is>
          <t>MOLTOT MATHEWOS KAWO</t>
        </is>
      </c>
    </row>
    <row r="1808">
      <c r="H1808" s="26" t="inlineStr">
        <is>
          <t>MON REAL ESTATE AND BUSINESS CENTER PLC</t>
        </is>
      </c>
    </row>
    <row r="1809">
      <c r="H1809" s="26" t="inlineStr">
        <is>
          <t>MONDO MART</t>
        </is>
      </c>
    </row>
    <row r="1810">
      <c r="H1810" s="26" t="inlineStr">
        <is>
          <t>MOON LIGHT HOTEL</t>
        </is>
      </c>
    </row>
    <row r="1811">
      <c r="H1811" s="26" t="inlineStr">
        <is>
          <t>MOPLACO TRADING PLC</t>
        </is>
      </c>
    </row>
    <row r="1812">
      <c r="H1812" s="26" t="inlineStr">
        <is>
          <t>MORINGA FARMS PLC</t>
        </is>
      </c>
    </row>
    <row r="1813">
      <c r="H1813" s="26" t="inlineStr">
        <is>
          <t>MOSES MANUFACTURING PLC</t>
        </is>
      </c>
    </row>
    <row r="1814">
      <c r="H1814" s="26" t="inlineStr">
        <is>
          <t>MOSHE TEMAM MEHAMMED</t>
        </is>
      </c>
    </row>
    <row r="1815">
      <c r="H1815" s="26" t="inlineStr">
        <is>
          <t>MOSI HOTEL</t>
        </is>
      </c>
    </row>
    <row r="1816">
      <c r="H1816" s="26" t="inlineStr">
        <is>
          <t>MOTERA HOTEL PLC</t>
        </is>
      </c>
    </row>
    <row r="1817">
      <c r="H1817" s="26" t="inlineStr">
        <is>
          <t>MOTHERLAND AGRO INDUSTRY PLC</t>
        </is>
      </c>
    </row>
    <row r="1818">
      <c r="H1818" s="26" t="inlineStr">
        <is>
          <t>MOTTO COFFEE BAR AND RESTAURANT PLC</t>
        </is>
      </c>
    </row>
    <row r="1819">
      <c r="H1819" s="26" t="inlineStr">
        <is>
          <t>MOUNTAIN SPORTS BAR AND LOUGE PLC</t>
        </is>
      </c>
    </row>
    <row r="1820">
      <c r="H1820" s="26" t="inlineStr">
        <is>
          <t>MOYA CAFE</t>
        </is>
      </c>
    </row>
    <row r="1821">
      <c r="H1821" s="26" t="inlineStr">
        <is>
          <t>MOYA FOOD COMPLEX PLC</t>
        </is>
      </c>
    </row>
    <row r="1822">
      <c r="H1822" s="26" t="inlineStr">
        <is>
          <t>MOYEE COFFEE ROASTING PLC</t>
        </is>
      </c>
    </row>
    <row r="1823">
      <c r="H1823" s="26" t="inlineStr">
        <is>
          <t>MR YOHANNES GIRMAY GEBREEGI</t>
        </is>
      </c>
    </row>
    <row r="1824">
      <c r="H1824" s="26" t="inlineStr">
        <is>
          <t>MT SUPERVALU PLC</t>
        </is>
      </c>
    </row>
    <row r="1825">
      <c r="H1825" s="26" t="inlineStr">
        <is>
          <t>MTA TRADING AND MANUFACTURING ATOT HOTEL SERVICE</t>
        </is>
      </c>
    </row>
    <row r="1826">
      <c r="H1826" s="26" t="inlineStr">
        <is>
          <t>MTG INDUSTRIAL PLC</t>
        </is>
      </c>
    </row>
    <row r="1827">
      <c r="H1827" s="26" t="inlineStr">
        <is>
          <t>MUAZE GEBREMESKEL</t>
        </is>
      </c>
    </row>
    <row r="1828">
      <c r="H1828" s="26" t="inlineStr">
        <is>
          <t>MUGED PHARMACY</t>
        </is>
      </c>
    </row>
    <row r="1829">
      <c r="H1829" s="26" t="inlineStr">
        <is>
          <t>MUHABA AKMEL JEMAL</t>
        </is>
      </c>
    </row>
    <row r="1830">
      <c r="H1830" s="26" t="inlineStr">
        <is>
          <t>MUJAHIDIN ABUBEKER BUILE</t>
        </is>
      </c>
    </row>
    <row r="1831">
      <c r="H1831" s="26" t="inlineStr">
        <is>
          <t>MULATU ASTATKE JAZ VILLAGE PLC</t>
        </is>
      </c>
    </row>
    <row r="1832">
      <c r="H1832" s="26" t="inlineStr">
        <is>
          <t>MULATU DIBABA</t>
        </is>
      </c>
    </row>
    <row r="1833">
      <c r="H1833" s="26" t="inlineStr">
        <is>
          <t>MULATU MENGESHA WABE</t>
        </is>
      </c>
    </row>
    <row r="1834">
      <c r="H1834" s="26" t="inlineStr">
        <is>
          <t>MULEY ADDISU FANTAY</t>
        </is>
      </c>
    </row>
    <row r="1835">
      <c r="H1835" s="26" t="inlineStr">
        <is>
          <t>MULLEGE PLC</t>
        </is>
      </c>
    </row>
    <row r="1836">
      <c r="H1836" s="26" t="inlineStr">
        <is>
          <t>MULMUL BREAD CAKE AND BESKUT INDUSTRY</t>
        </is>
      </c>
    </row>
    <row r="1837">
      <c r="H1837" s="26" t="inlineStr">
        <is>
          <t>MULU ELECTRONICS ENGINEERING PLC</t>
        </is>
      </c>
    </row>
    <row r="1838">
      <c r="H1838" s="26" t="inlineStr">
        <is>
          <t>MULU GERMAY</t>
        </is>
      </c>
    </row>
    <row r="1839">
      <c r="H1839" s="26" t="inlineStr">
        <is>
          <t>MULU MAJIR TEKLEMARIAM</t>
        </is>
      </c>
    </row>
    <row r="1840">
      <c r="H1840" s="26" t="inlineStr">
        <is>
          <t>MULU TIBEBE TRADING PLC</t>
        </is>
      </c>
    </row>
    <row r="1841">
      <c r="H1841" s="26" t="inlineStr">
        <is>
          <t>MULUALEM ABEBE ADMASU</t>
        </is>
      </c>
    </row>
    <row r="1842">
      <c r="H1842" s="26" t="inlineStr">
        <is>
          <t>MULUALEM AYEHU</t>
        </is>
      </c>
    </row>
    <row r="1843">
      <c r="H1843" s="26" t="inlineStr">
        <is>
          <t>MULUALEM GEBREMEDHIN GEBREMIKAEL</t>
        </is>
      </c>
    </row>
    <row r="1844">
      <c r="H1844" s="26" t="inlineStr">
        <is>
          <t>MULUALEM TAMIRU GEBERSELASSIE</t>
        </is>
      </c>
    </row>
    <row r="1845">
      <c r="H1845" s="26" t="inlineStr">
        <is>
          <t>MULUKEN TESHOME</t>
        </is>
      </c>
    </row>
    <row r="1846">
      <c r="H1846" s="26" t="inlineStr">
        <is>
          <t>MULUTESEHAY TEKLESELASIE BADEBO</t>
        </is>
      </c>
    </row>
    <row r="1847">
      <c r="H1847" s="26" t="inlineStr">
        <is>
          <t>MULUWORK RESORT &amp; HOTEL(LION  SECURITY SERVICE PLc)</t>
        </is>
      </c>
    </row>
    <row r="1848">
      <c r="H1848" s="26" t="inlineStr">
        <is>
          <t>MUSE AYELE BEYENE</t>
        </is>
      </c>
    </row>
    <row r="1849">
      <c r="H1849" s="26" t="inlineStr">
        <is>
          <t>MUSSIE KASSA ATSIBHA MUSSIE BAR AND RESTAURANT</t>
        </is>
      </c>
    </row>
    <row r="1850">
      <c r="H1850" s="26" t="inlineStr">
        <is>
          <t>MUZEIN AND HIS CHILDREN PLC</t>
        </is>
      </c>
    </row>
    <row r="1851">
      <c r="H1851" s="26" t="inlineStr">
        <is>
          <t>MWS TRADING PLC</t>
        </is>
      </c>
    </row>
    <row r="1852">
      <c r="H1852" s="26" t="inlineStr">
        <is>
          <t>MY CHOICE TRADING PLC</t>
        </is>
      </c>
    </row>
    <row r="1853">
      <c r="H1853" s="26" t="inlineStr">
        <is>
          <t>MY HELLO COMMUNICATIONS PLS</t>
        </is>
      </c>
    </row>
    <row r="1854">
      <c r="H1854" s="26" t="inlineStr">
        <is>
          <t>N R F TRADING PLC</t>
        </is>
      </c>
    </row>
    <row r="1855">
      <c r="H1855" s="26" t="inlineStr">
        <is>
          <t>N.F.A BUSINESS PLC</t>
        </is>
      </c>
    </row>
    <row r="1856">
      <c r="H1856" s="26" t="inlineStr">
        <is>
          <t>NABASS TRADING PLC</t>
        </is>
      </c>
    </row>
    <row r="1857">
      <c r="H1857" s="26" t="inlineStr">
        <is>
          <t>NAHOM GIRMA GIFAWOSSEN</t>
        </is>
      </c>
    </row>
    <row r="1858">
      <c r="H1858" s="26" t="inlineStr">
        <is>
          <t>NAMAN TRADING AND MANUFACTURING PLC</t>
        </is>
      </c>
    </row>
    <row r="1859">
      <c r="H1859" s="26" t="inlineStr">
        <is>
          <t>NANA TADELE HAILU</t>
        </is>
      </c>
    </row>
    <row r="1860">
      <c r="H1860" s="26" t="inlineStr">
        <is>
          <t>NANEFAM TRADING PLC</t>
        </is>
      </c>
    </row>
    <row r="1861">
      <c r="H1861" s="26" t="inlineStr">
        <is>
          <t>NANODAS TRADE AND INDUSTRY PLC</t>
        </is>
      </c>
    </row>
    <row r="1862">
      <c r="H1862" s="26" t="inlineStr">
        <is>
          <t>NAOL OLKEBA DHANGLYA</t>
        </is>
      </c>
    </row>
    <row r="1863">
      <c r="H1863" s="26" t="inlineStr">
        <is>
          <t>NAPHREM TRADING PLC</t>
        </is>
      </c>
    </row>
    <row r="1864">
      <c r="H1864" s="26" t="inlineStr">
        <is>
          <t>NARDOS COFFEE EXPORT PLC</t>
        </is>
      </c>
    </row>
    <row r="1865">
      <c r="H1865" s="26" t="inlineStr">
        <is>
          <t>NATHEL GUEST HOUSE</t>
        </is>
      </c>
    </row>
    <row r="1866">
      <c r="H1866" s="26" t="inlineStr">
        <is>
          <t>NATIONAL MEDIA SHARE COMPANY</t>
        </is>
      </c>
    </row>
    <row r="1867">
      <c r="H1867" s="26" t="inlineStr">
        <is>
          <t>NAZO PLC</t>
        </is>
      </c>
    </row>
    <row r="1868">
      <c r="H1868" s="26" t="inlineStr">
        <is>
          <t>NAZRA HOTEL</t>
        </is>
      </c>
    </row>
    <row r="1869">
      <c r="H1869" s="26" t="inlineStr">
        <is>
          <t>NAZRAWI OVERSEAS PLC</t>
        </is>
      </c>
    </row>
    <row r="1870">
      <c r="H1870" s="26" t="inlineStr">
        <is>
          <t>NE-TSA PLC</t>
        </is>
      </c>
    </row>
    <row r="1871">
      <c r="H1871" s="26" t="inlineStr">
        <is>
          <t>NEBSU SHEWANGIZAW FELEKE</t>
        </is>
      </c>
    </row>
    <row r="1872">
      <c r="H1872" s="26" t="inlineStr">
        <is>
          <t>NEFAS SILK POLYTECHNIQUE COLLEGE</t>
        </is>
      </c>
    </row>
    <row r="1873">
      <c r="H1873" s="26" t="inlineStr">
        <is>
          <t>NEFISA KHELIFA GENERAL IMPORTER</t>
        </is>
      </c>
    </row>
    <row r="1874">
      <c r="H1874" s="26" t="inlineStr">
        <is>
          <t>NEGA BONGER SEID</t>
        </is>
      </c>
    </row>
    <row r="1875">
      <c r="H1875" s="26" t="inlineStr">
        <is>
          <t>NEGA GMICHEAL GGIORGIS</t>
        </is>
      </c>
    </row>
    <row r="1876">
      <c r="H1876" s="26" t="inlineStr">
        <is>
          <t>NEGADRAS GENERAL TRADING COMPANY PLC</t>
        </is>
      </c>
    </row>
    <row r="1877">
      <c r="H1877" s="26" t="inlineStr">
        <is>
          <t>NEGASH WEDAJE</t>
        </is>
      </c>
    </row>
    <row r="1878">
      <c r="H1878" s="26" t="inlineStr">
        <is>
          <t>NEJA WUDMETAS NURO</t>
        </is>
      </c>
    </row>
    <row r="1879">
      <c r="H1879" s="26" t="inlineStr">
        <is>
          <t>NELLYS HOSPITALITY SERVICE PLC</t>
        </is>
      </c>
    </row>
    <row r="1880">
      <c r="H1880" s="26" t="inlineStr">
        <is>
          <t>NEMOMSA OLI</t>
        </is>
      </c>
    </row>
    <row r="1881">
      <c r="H1881" s="26" t="inlineStr">
        <is>
          <t>NESER HOTEL</t>
        </is>
      </c>
    </row>
    <row r="1882">
      <c r="H1882" s="26" t="inlineStr">
        <is>
          <t>NESRU MOHAMMED SHIKUR</t>
        </is>
      </c>
    </row>
    <row r="1883">
      <c r="H1883" s="26" t="inlineStr">
        <is>
          <t>NEST FOOD COMLPLEX(TAYE BERHANU BELAY )</t>
        </is>
      </c>
    </row>
    <row r="1884">
      <c r="H1884" s="26" t="inlineStr">
        <is>
          <t>NET AND COM PLC</t>
        </is>
      </c>
    </row>
    <row r="1885">
      <c r="H1885" s="26" t="inlineStr">
        <is>
          <t>NETSANET ASSEFA GEBREMARIAM</t>
        </is>
      </c>
    </row>
    <row r="1886">
      <c r="H1886" s="26" t="inlineStr">
        <is>
          <t>NETSANET SILESHI TAMENE</t>
        </is>
      </c>
    </row>
    <row r="1887">
      <c r="H1887" s="26" t="inlineStr">
        <is>
          <t>NETSUH MAED CAFE AND RESTAURANT PLC</t>
        </is>
      </c>
    </row>
    <row r="1888">
      <c r="H1888" s="26" t="inlineStr">
        <is>
          <t>NETWORK PLC</t>
        </is>
      </c>
    </row>
    <row r="1889">
      <c r="H1889" s="26" t="inlineStr">
        <is>
          <t>NEW BASE ETHIOPIA INTERNATIONAL HOTEL PLC</t>
        </is>
      </c>
    </row>
    <row r="1890">
      <c r="H1890" s="26" t="inlineStr">
        <is>
          <t>NEW CASTIL REASTORAUNT PLC</t>
        </is>
      </c>
    </row>
    <row r="1891">
      <c r="H1891" s="26" t="inlineStr">
        <is>
          <t>NEW DAY HOTEL</t>
        </is>
      </c>
    </row>
    <row r="1892">
      <c r="H1892" s="26" t="inlineStr">
        <is>
          <t>NEW INTERNATIONAL TRADING PLC</t>
        </is>
      </c>
    </row>
    <row r="1893">
      <c r="H1893" s="26" t="inlineStr">
        <is>
          <t>NEW PLATINIUM REAL ESTATE PLC</t>
        </is>
      </c>
    </row>
    <row r="1894">
      <c r="H1894" s="26" t="inlineStr">
        <is>
          <t>NEW SIESTA HOTEL</t>
        </is>
      </c>
    </row>
    <row r="1895">
      <c r="H1895" s="26" t="inlineStr">
        <is>
          <t>NEW VISION PHARMACEUTICAL PLC</t>
        </is>
      </c>
    </row>
    <row r="1896">
      <c r="H1896" s="26" t="inlineStr">
        <is>
          <t>NEW VISIONS SYNERGY PLC</t>
        </is>
      </c>
    </row>
    <row r="1897">
      <c r="H1897" s="26" t="inlineStr">
        <is>
          <t>NEWAVE HI TECH SOLUTIONS PLC</t>
        </is>
      </c>
    </row>
    <row r="1898">
      <c r="H1898" s="26" t="inlineStr">
        <is>
          <t>NEXT FOOD SOLUTIONS ONE MEMBER PLC</t>
        </is>
      </c>
    </row>
    <row r="1899">
      <c r="H1899" s="26" t="inlineStr">
        <is>
          <t>NG TRADING INTERNATIONAL</t>
        </is>
      </c>
    </row>
    <row r="1900">
      <c r="H1900" s="26" t="inlineStr">
        <is>
          <t>NHBG TRADING PLC</t>
        </is>
      </c>
    </row>
    <row r="1901">
      <c r="H1901" s="26" t="inlineStr">
        <is>
          <t>NIGAT ENGENERINING GENERAL TRADING PLC</t>
        </is>
      </c>
    </row>
    <row r="1902">
      <c r="H1902" s="26" t="inlineStr">
        <is>
          <t>NIGAT MECHANICAL ENGINEERING SHARE COMPANY</t>
        </is>
      </c>
    </row>
    <row r="1903">
      <c r="H1903" s="26" t="inlineStr">
        <is>
          <t>NIK TRADING PLC</t>
        </is>
      </c>
    </row>
    <row r="1904">
      <c r="H1904" s="26" t="inlineStr">
        <is>
          <t>NIKODIMOS INTERNATIONAL TRADING PLC</t>
        </is>
      </c>
    </row>
    <row r="1905">
      <c r="H1905" s="26" t="inlineStr">
        <is>
          <t>NILE SOURCE PLC</t>
        </is>
      </c>
    </row>
    <row r="1906">
      <c r="H1906" s="26" t="inlineStr">
        <is>
          <t>NILOSETHI TRADING PLC</t>
        </is>
      </c>
    </row>
    <row r="1907">
      <c r="H1907" s="26" t="inlineStr">
        <is>
          <t>NISIR MEDICAL SERVICE PLC</t>
        </is>
      </c>
    </row>
    <row r="1908">
      <c r="H1908" s="26" t="inlineStr">
        <is>
          <t>NISR BOLE MULTI PURP.CONS.COPERATIVE</t>
        </is>
      </c>
    </row>
    <row r="1909">
      <c r="H1909" s="26" t="inlineStr">
        <is>
          <t>NJ SWISS PHARMACEUTICAL IMPORT</t>
        </is>
      </c>
    </row>
    <row r="1910">
      <c r="H1910" s="26" t="inlineStr">
        <is>
          <t>NOBEL FARM PLC</t>
        </is>
      </c>
    </row>
    <row r="1911">
      <c r="H1911" s="26" t="inlineStr">
        <is>
          <t>NOBICOM TECHNOLOGY INTEGRATION PLC</t>
        </is>
      </c>
    </row>
    <row r="1912">
      <c r="H1912" s="26" t="inlineStr">
        <is>
          <t>NOBIRE TRADING PLC</t>
        </is>
      </c>
    </row>
    <row r="1913">
      <c r="H1913" s="26" t="inlineStr">
        <is>
          <t>NOBLE GRAND RESORT PLC</t>
        </is>
      </c>
    </row>
    <row r="1914">
      <c r="H1914" s="26" t="inlineStr">
        <is>
          <t>NOLAWI RETAIL TRADE OF CONSTRUCTION MATERIAL PLC</t>
        </is>
      </c>
    </row>
    <row r="1915">
      <c r="H1915" s="26" t="inlineStr">
        <is>
          <t>NOODLE MIX FOOD SERVICE PLC</t>
        </is>
      </c>
    </row>
    <row r="1916">
      <c r="H1916" s="26" t="inlineStr">
        <is>
          <t>NOOK S T TRADING PLC</t>
        </is>
      </c>
    </row>
    <row r="1917">
      <c r="H1917" s="26" t="inlineStr">
        <is>
          <t>NOORA RESORT</t>
        </is>
      </c>
    </row>
    <row r="1918">
      <c r="H1918" s="26" t="inlineStr">
        <is>
          <t>NORTH ADDIS HOTEL</t>
        </is>
      </c>
    </row>
    <row r="1919">
      <c r="H1919" s="26" t="inlineStr">
        <is>
          <t>NOVA SOSET MANUFACTURING AONE MEMBER PLC</t>
        </is>
      </c>
    </row>
    <row r="1920">
      <c r="H1920" s="26" t="inlineStr">
        <is>
          <t>NOVIS PLC</t>
        </is>
      </c>
    </row>
    <row r="1921">
      <c r="H1921" s="26" t="inlineStr">
        <is>
          <t>NUMBER ONE INVESTMENT ONE MEMBER PLC</t>
        </is>
      </c>
    </row>
    <row r="1922">
      <c r="H1922" s="26" t="inlineStr">
        <is>
          <t>NUMEK PRINTING AND ADVERTISING PLC</t>
        </is>
      </c>
    </row>
    <row r="1923">
      <c r="H1923" s="26" t="inlineStr">
        <is>
          <t>NUNHEMS ETHIOPIA PLC</t>
        </is>
      </c>
    </row>
    <row r="1924">
      <c r="H1924" s="26" t="inlineStr">
        <is>
          <t>NUNU PHARMACEUTICAL PLC</t>
        </is>
      </c>
    </row>
    <row r="1925">
      <c r="H1925" s="26" t="inlineStr">
        <is>
          <t>NUNU SIP AND SCOOPS PLC</t>
        </is>
      </c>
    </row>
    <row r="1926">
      <c r="H1926" s="26" t="inlineStr">
        <is>
          <t>NUR KEIR TRADING PLC</t>
        </is>
      </c>
    </row>
    <row r="1927">
      <c r="H1927" s="26" t="inlineStr">
        <is>
          <t>NUREDIN MOHAMMED SAHE (WORLD TECHNOLOGY TRADING)</t>
        </is>
      </c>
    </row>
    <row r="1928">
      <c r="H1928" s="26" t="inlineStr">
        <is>
          <t>NURHUSSEN NHY</t>
        </is>
      </c>
    </row>
    <row r="1929">
      <c r="H1929" s="26" t="inlineStr">
        <is>
          <t>NURHUSSEN YASSIN OMER</t>
        </is>
      </c>
    </row>
    <row r="1930">
      <c r="H1930" s="26" t="inlineStr">
        <is>
          <t>NURLIGN AWOKE DEGNEH</t>
        </is>
      </c>
    </row>
    <row r="1931">
      <c r="H1931" s="26" t="inlineStr">
        <is>
          <t>O CLOCK GENERAL TRADING PLC</t>
        </is>
      </c>
    </row>
    <row r="1932">
      <c r="H1932" s="26" t="inlineStr">
        <is>
          <t>OASIS INTERNATIONAL HOTEL</t>
        </is>
      </c>
    </row>
    <row r="1933">
      <c r="H1933" s="26" t="inlineStr">
        <is>
          <t>OASIS PHARMACEUTICALS PLC</t>
        </is>
      </c>
    </row>
    <row r="1934">
      <c r="H1934" s="26" t="inlineStr">
        <is>
          <t>OC COMPUTER PLC</t>
        </is>
      </c>
    </row>
    <row r="1935">
      <c r="H1935" s="26" t="inlineStr">
        <is>
          <t>OLIJ BREEDING PLC</t>
        </is>
      </c>
    </row>
    <row r="1936">
      <c r="H1936" s="26" t="inlineStr">
        <is>
          <t>OLIVET TRADING PLC</t>
        </is>
      </c>
    </row>
    <row r="1937">
      <c r="H1937" s="26" t="inlineStr">
        <is>
          <t>OLOGO PLC</t>
        </is>
      </c>
    </row>
    <row r="1938">
      <c r="H1938" s="26" t="inlineStr">
        <is>
          <t>OM RESTURANT FOODS PLC</t>
        </is>
      </c>
    </row>
    <row r="1939">
      <c r="H1939" s="26" t="inlineStr">
        <is>
          <t>OMETZ TRADING PLC</t>
        </is>
      </c>
    </row>
    <row r="1940">
      <c r="H1940" s="26" t="inlineStr">
        <is>
          <t>OMICRON BUSINESS PLC (HEBRON COFFE )</t>
        </is>
      </c>
    </row>
    <row r="1941">
      <c r="H1941" s="26" t="inlineStr">
        <is>
          <t>OMICRON ENGINEERING</t>
        </is>
      </c>
    </row>
    <row r="1942">
      <c r="H1942" s="26" t="inlineStr">
        <is>
          <t>OMNA ADDIS HOTEL</t>
        </is>
      </c>
    </row>
    <row r="1943">
      <c r="H1943" s="26" t="inlineStr">
        <is>
          <t>OMOTIC</t>
        </is>
      </c>
    </row>
    <row r="1944">
      <c r="H1944" s="26" t="inlineStr">
        <is>
          <t>OMOTIC KONSO</t>
        </is>
      </c>
    </row>
    <row r="1945">
      <c r="H1945" s="26" t="inlineStr">
        <is>
          <t>ONE STOP TRADING ONE MEMBER PLC</t>
        </is>
      </c>
    </row>
    <row r="1946">
      <c r="H1946" s="26" t="inlineStr">
        <is>
          <t>ONEOFE TRAVEL AND CAR RENT PLC</t>
        </is>
      </c>
    </row>
    <row r="1947">
      <c r="H1947" s="26" t="inlineStr">
        <is>
          <t>OPAL PASTRY AND COFFEE PLC</t>
        </is>
      </c>
    </row>
    <row r="1948">
      <c r="H1948" s="26" t="inlineStr">
        <is>
          <t>ORANGE TOOLS TRADING</t>
        </is>
      </c>
    </row>
    <row r="1949">
      <c r="H1949" s="26" t="inlineStr">
        <is>
          <t>ORB TRADING PLC</t>
        </is>
      </c>
    </row>
    <row r="1950">
      <c r="H1950" s="26" t="inlineStr">
        <is>
          <t>ORBIT HEALTH SOLUTION PLC</t>
        </is>
      </c>
    </row>
    <row r="1951">
      <c r="H1951" s="26" t="inlineStr">
        <is>
          <t>ORGANIC MEAT EXPORT</t>
        </is>
      </c>
    </row>
    <row r="1952">
      <c r="H1952" s="26" t="inlineStr">
        <is>
          <t>OROMIA AGRICULTURAL FEDERATION LTD</t>
        </is>
      </c>
    </row>
    <row r="1953">
      <c r="H1953" s="26" t="inlineStr">
        <is>
          <t>OROMIA NATIONAL REGIONAL STATE OFFICE OF THE PRESIDENT</t>
        </is>
      </c>
    </row>
    <row r="1954">
      <c r="H1954" s="26" t="inlineStr">
        <is>
          <t>OROMIA PRESIDENT OFFICE CAFETERIA</t>
        </is>
      </c>
    </row>
    <row r="1955">
      <c r="H1955" s="26" t="inlineStr">
        <is>
          <t>OSAKA STEEL PLC</t>
        </is>
      </c>
    </row>
    <row r="1956">
      <c r="H1956" s="26" t="inlineStr">
        <is>
          <t>OVID KLING CONSULT PLC</t>
        </is>
      </c>
    </row>
    <row r="1957">
      <c r="H1957" s="26" t="inlineStr">
        <is>
          <t>OVID REAL ESTATE PLC</t>
        </is>
      </c>
    </row>
    <row r="1958">
      <c r="H1958" s="26" t="inlineStr">
        <is>
          <t>OZIAS CAFE AND RESTAURANT</t>
        </is>
      </c>
    </row>
    <row r="1959">
      <c r="H1959" s="26" t="inlineStr">
        <is>
          <t>P H K TRADING PLC</t>
        </is>
      </c>
    </row>
    <row r="1960">
      <c r="H1960" s="26" t="inlineStr">
        <is>
          <t>PACIFIC HOTEL</t>
        </is>
      </c>
    </row>
    <row r="1961">
      <c r="H1961" s="26" t="inlineStr">
        <is>
          <t>PACTZION TRADING PLC</t>
        </is>
      </c>
    </row>
    <row r="1962">
      <c r="H1962" s="26" t="inlineStr">
        <is>
          <t>PAGUMEN TOUR AND TRAVEL</t>
        </is>
      </c>
    </row>
    <row r="1963">
      <c r="H1963" s="26" t="inlineStr">
        <is>
          <t>PANA BOTANICAL PLC</t>
        </is>
      </c>
    </row>
    <row r="1964">
      <c r="H1964" s="26" t="inlineStr">
        <is>
          <t>PANDA BY SHEGER GUEST HOUSE PLC</t>
        </is>
      </c>
    </row>
    <row r="1965">
      <c r="H1965" s="26" t="inlineStr">
        <is>
          <t>PANDA EXPRESS CHINESE FOOD RESTURANT PLC</t>
        </is>
      </c>
    </row>
    <row r="1966">
      <c r="H1966" s="26" t="inlineStr">
        <is>
          <t>PANORAMA HOTEL</t>
        </is>
      </c>
    </row>
    <row r="1967">
      <c r="H1967" s="26" t="inlineStr">
        <is>
          <t>PAPYRUS HOTEL</t>
        </is>
      </c>
    </row>
    <row r="1968">
      <c r="H1968" s="26" t="inlineStr">
        <is>
          <t>PARACLETE TRADING PLC</t>
        </is>
      </c>
    </row>
    <row r="1969">
      <c r="H1969" s="26" t="inlineStr">
        <is>
          <t>PARAGON PHYSIOTHERAPY AND SPORT  MEDICINE CLINICPLC</t>
        </is>
      </c>
    </row>
    <row r="1970">
      <c r="H1970" s="26" t="inlineStr">
        <is>
          <t>PARAGON TRADING PLC(BLAZE BAR AND RESTAURANT)</t>
        </is>
      </c>
    </row>
    <row r="1971">
      <c r="H1971" s="26" t="inlineStr">
        <is>
          <t>PARAMOUNT SALES AND MARKETING PLC</t>
        </is>
      </c>
    </row>
    <row r="1972">
      <c r="H1972" s="26" t="inlineStr">
        <is>
          <t>PARITY CONSULTANCY PLC</t>
        </is>
      </c>
    </row>
    <row r="1973">
      <c r="H1973" s="26" t="inlineStr">
        <is>
          <t>PASSION TECHNOLOGIS ONE MEMBER PLC</t>
        </is>
      </c>
    </row>
    <row r="1974">
      <c r="H1974" s="26" t="inlineStr">
        <is>
          <t>PASSIONATE TRADING PLC</t>
        </is>
      </c>
    </row>
    <row r="1975">
      <c r="H1975" s="26" t="inlineStr">
        <is>
          <t>PASTY BAKERY TRADING PLC</t>
        </is>
      </c>
    </row>
    <row r="1976">
      <c r="H1976" s="26" t="inlineStr">
        <is>
          <t>PAULOS MEKBIB MEMORIAL HIGHER CLINIC</t>
        </is>
      </c>
    </row>
    <row r="1977">
      <c r="H1977" s="26" t="inlineStr">
        <is>
          <t>PERA DEMISSE TIRFE</t>
        </is>
      </c>
    </row>
    <row r="1978">
      <c r="H1978" s="26" t="inlineStr">
        <is>
          <t>PERIMETER CONSULTING AND TRADING PLC</t>
        </is>
      </c>
    </row>
    <row r="1979">
      <c r="H1979" s="26" t="inlineStr">
        <is>
          <t>PERIPLUS BUSINESS PLC</t>
        </is>
      </c>
    </row>
    <row r="1980">
      <c r="H1980" s="26" t="inlineStr">
        <is>
          <t>PERKINS INDUSTRIAL PLC</t>
        </is>
      </c>
    </row>
    <row r="1981">
      <c r="H1981" s="26" t="inlineStr">
        <is>
          <t>PHARMA TECH PLC</t>
        </is>
      </c>
    </row>
    <row r="1982">
      <c r="H1982" s="26" t="inlineStr">
        <is>
          <t>PHARMACALL MEDICAL TRADING</t>
        </is>
      </c>
    </row>
    <row r="1983">
      <c r="H1983" s="26" t="inlineStr">
        <is>
          <t>PHARMACHEM ENTERPRISE IMPORT AND EXPORT</t>
        </is>
      </c>
    </row>
    <row r="1984">
      <c r="H1984" s="26" t="inlineStr">
        <is>
          <t>PIETECH VAS VALUE ADDED SERVICE PLC</t>
        </is>
      </c>
    </row>
    <row r="1985">
      <c r="H1985" s="26" t="inlineStr">
        <is>
          <t>PILAR TRADING PLC</t>
        </is>
      </c>
    </row>
    <row r="1986">
      <c r="H1986" s="26" t="inlineStr">
        <is>
          <t>PINGUIN INTERNATIONAL BUSINESS PLC</t>
        </is>
      </c>
    </row>
    <row r="1987">
      <c r="H1987" s="26" t="inlineStr">
        <is>
          <t>PINNACLE ELITE ACADEMY PLC</t>
        </is>
      </c>
    </row>
    <row r="1988">
      <c r="H1988" s="26" t="inlineStr">
        <is>
          <t>PINNACLE TRADING</t>
        </is>
      </c>
    </row>
    <row r="1989">
      <c r="H1989" s="26" t="inlineStr">
        <is>
          <t>PINNACLE TRADING PLC</t>
        </is>
      </c>
    </row>
    <row r="1990">
      <c r="H1990" s="26" t="inlineStr">
        <is>
          <t>PIONEER DIAGNOSTICS CENTER 2</t>
        </is>
      </c>
    </row>
    <row r="1991">
      <c r="H1991" s="26" t="inlineStr">
        <is>
          <t>PIONEER DIAGNOSTICS CENTRE</t>
        </is>
      </c>
    </row>
    <row r="1992">
      <c r="H1992" s="26" t="inlineStr">
        <is>
          <t>PIZZA ALA ROMA PLC</t>
        </is>
      </c>
    </row>
    <row r="1993">
      <c r="H1993" s="26" t="inlineStr">
        <is>
          <t>PLAN A TRADING PLC</t>
        </is>
      </c>
    </row>
    <row r="1994">
      <c r="H1994" s="26" t="inlineStr">
        <is>
          <t>PLANATE SHOPPING CENTER SUPERMARKET</t>
        </is>
      </c>
    </row>
    <row r="1995">
      <c r="H1995" s="26" t="inlineStr">
        <is>
          <t>PLANET INVESTMENT GROUP PLC</t>
        </is>
      </c>
    </row>
    <row r="1996">
      <c r="H1996" s="26" t="inlineStr">
        <is>
          <t>PLATINUM AGRICULTURAL PLC</t>
        </is>
      </c>
    </row>
    <row r="1997">
      <c r="H1997" s="26" t="inlineStr">
        <is>
          <t>PLATOON TRADING PLC</t>
        </is>
      </c>
    </row>
    <row r="1998">
      <c r="H1998" s="26" t="inlineStr">
        <is>
          <t>PLAZA HOTEL PLC</t>
        </is>
      </c>
    </row>
    <row r="1999">
      <c r="H1999" s="26" t="inlineStr">
        <is>
          <t>PLENTY RESTAURANT AND CATERING ONE MEMBER PLC</t>
        </is>
      </c>
    </row>
    <row r="2000">
      <c r="H2000" s="26" t="inlineStr">
        <is>
          <t>POKER LOUNGE PLC</t>
        </is>
      </c>
    </row>
    <row r="2001">
      <c r="H2001" s="26" t="inlineStr">
        <is>
          <t>POLYZONE TRADING PLC</t>
        </is>
      </c>
    </row>
    <row r="2002">
      <c r="H2002" s="26" t="inlineStr">
        <is>
          <t>POMMY PEDIATRICS CENTER PLC</t>
        </is>
      </c>
    </row>
    <row r="2003">
      <c r="H2003" s="26" t="inlineStr">
        <is>
          <t>POSH HYGIENE SOLUTIONS PLC</t>
        </is>
      </c>
    </row>
    <row r="2004">
      <c r="H2004" s="26" t="inlineStr">
        <is>
          <t>POSHINC TRADING PLC</t>
        </is>
      </c>
    </row>
    <row r="2005">
      <c r="H2005" s="26" t="inlineStr">
        <is>
          <t>POWER CINEMA ADDIS</t>
        </is>
      </c>
    </row>
    <row r="2006">
      <c r="H2006" s="26" t="inlineStr">
        <is>
          <t>POWER VOLT TRADING PLC</t>
        </is>
      </c>
    </row>
    <row r="2007">
      <c r="H2007" s="26" t="inlineStr">
        <is>
          <t>PRECISE WOOD PRODUCT MANUFACTURING PLC</t>
        </is>
      </c>
    </row>
    <row r="2008">
      <c r="H2008" s="26" t="inlineStr">
        <is>
          <t>PRESENCE MANUFACTURING PLC</t>
        </is>
      </c>
    </row>
    <row r="2009">
      <c r="H2009" s="26" t="inlineStr">
        <is>
          <t>PRIME HOSPITALITY BUSINESS GROUP PLC</t>
        </is>
      </c>
    </row>
    <row r="2010">
      <c r="H2010" s="26" t="inlineStr">
        <is>
          <t>PRIME MED PHARMACEUTICAL PLC</t>
        </is>
      </c>
    </row>
    <row r="2011">
      <c r="H2011" s="26" t="inlineStr">
        <is>
          <t>PRIME MEET AND FOOD PRODUCTS</t>
        </is>
      </c>
    </row>
    <row r="2012">
      <c r="H2012" s="26" t="inlineStr">
        <is>
          <t>PRIMO COFFEE HOUSE</t>
        </is>
      </c>
    </row>
    <row r="2013">
      <c r="H2013" s="26" t="inlineStr">
        <is>
          <t>PRIZE TRADING AND SHARE COMPANY</t>
        </is>
      </c>
    </row>
    <row r="2014">
      <c r="H2014" s="26" t="inlineStr">
        <is>
          <t>PRO DIESEL PLC</t>
        </is>
      </c>
    </row>
    <row r="2015">
      <c r="H2015" s="26" t="inlineStr">
        <is>
          <t>PRO TEAM TRADING PLC</t>
        </is>
      </c>
    </row>
    <row r="2016">
      <c r="H2016" s="26" t="inlineStr">
        <is>
          <t>PRODUCTION TEST ONE</t>
        </is>
      </c>
    </row>
    <row r="2017">
      <c r="H2017" s="26" t="inlineStr">
        <is>
          <t>PRODUCTION TEST TWO</t>
        </is>
      </c>
    </row>
    <row r="2018">
      <c r="H2018" s="26" t="inlineStr">
        <is>
          <t>PUBLIC SERVICE TRANSPORT SERVECE</t>
        </is>
      </c>
    </row>
    <row r="2019">
      <c r="H2019" s="26" t="inlineStr">
        <is>
          <t>PULSE GENERAL BUSINESS PLC</t>
        </is>
      </c>
    </row>
    <row r="2020">
      <c r="H2020" s="26" t="inlineStr">
        <is>
          <t>PURE POWER LINK ELECTRONICS PLC</t>
        </is>
      </c>
    </row>
    <row r="2021">
      <c r="H2021" s="26" t="inlineStr">
        <is>
          <t>PYRAMID HOTELS AND RESORT</t>
        </is>
      </c>
    </row>
    <row r="2022">
      <c r="H2022" s="26" t="inlineStr">
        <is>
          <t>QELEBET HEALTH SERVICE PLC</t>
        </is>
      </c>
    </row>
    <row r="2023">
      <c r="H2023" s="26" t="inlineStr">
        <is>
          <t>QELEBET PHARMACEUTICAL PLC</t>
        </is>
      </c>
    </row>
    <row r="2024">
      <c r="H2024" s="26" t="inlineStr">
        <is>
          <t>QENE TECHNOLOGIES PLC</t>
        </is>
      </c>
    </row>
    <row r="2025">
      <c r="H2025" s="26" t="inlineStr">
        <is>
          <t>QUANTUM ELECTRONIC VEHICE MANUFACTURING</t>
        </is>
      </c>
    </row>
    <row r="2026">
      <c r="H2026" s="26" t="inlineStr">
        <is>
          <t>QUEENS SUPERMARKET PLC</t>
        </is>
      </c>
    </row>
    <row r="2027">
      <c r="H2027" s="26" t="inlineStr">
        <is>
          <t>QUICK QUALITY CONSTRUCTION PLC</t>
        </is>
      </c>
    </row>
    <row r="2028">
      <c r="H2028" s="26" t="inlineStr">
        <is>
          <t>R AND S TRADING PLC</t>
        </is>
      </c>
    </row>
    <row r="2029">
      <c r="H2029" s="26" t="inlineStr">
        <is>
          <t>RACROB BUSINESS PLC</t>
        </is>
      </c>
    </row>
    <row r="2030">
      <c r="H2030" s="26" t="inlineStr">
        <is>
          <t>RAEY MULTIPURPOSE CUSTOMERS</t>
        </is>
      </c>
    </row>
    <row r="2031">
      <c r="H2031" s="26" t="inlineStr">
        <is>
          <t>RAEY TRADING PLC</t>
        </is>
      </c>
    </row>
    <row r="2032">
      <c r="H2032" s="26" t="inlineStr">
        <is>
          <t>RAFU TRADING PLC</t>
        </is>
      </c>
    </row>
    <row r="2033">
      <c r="H2033" s="26" t="inlineStr">
        <is>
          <t>RAHEL BAYEH ABATE(BATA RESTAURANT)</t>
        </is>
      </c>
    </row>
    <row r="2034">
      <c r="H2034" s="26" t="inlineStr">
        <is>
          <t>RAHEL MOHAMMED</t>
        </is>
      </c>
    </row>
    <row r="2035">
      <c r="H2035" s="26" t="inlineStr">
        <is>
          <t>RAHMA MOWLID HUSSEIN</t>
        </is>
      </c>
    </row>
    <row r="2036">
      <c r="H2036" s="26" t="inlineStr">
        <is>
          <t>RAJI TEKLU CHEBSSA</t>
        </is>
      </c>
    </row>
    <row r="2037">
      <c r="H2037" s="26" t="inlineStr">
        <is>
          <t>RAM SAM TRADING PLC</t>
        </is>
      </c>
    </row>
    <row r="2038">
      <c r="H2038" s="26" t="inlineStr">
        <is>
          <t>RAMA ENT SPECIALTY CLINIC PLC</t>
        </is>
      </c>
    </row>
    <row r="2039">
      <c r="H2039" s="26" t="inlineStr">
        <is>
          <t>RAMA TRADING PLC</t>
        </is>
      </c>
    </row>
    <row r="2040">
      <c r="H2040" s="26" t="inlineStr">
        <is>
          <t>RAMIFICATION TRADING PLC</t>
        </is>
      </c>
    </row>
    <row r="2041">
      <c r="H2041" s="26" t="inlineStr">
        <is>
          <t>RANGO LIQUOR DEPORT PLC</t>
        </is>
      </c>
    </row>
    <row r="2042">
      <c r="H2042" s="26" t="inlineStr">
        <is>
          <t>RAPHA PHARMACY</t>
        </is>
      </c>
    </row>
    <row r="2043">
      <c r="H2043" s="26" t="inlineStr">
        <is>
          <t>RARAS TECHNOLOGIES PLC</t>
        </is>
      </c>
    </row>
    <row r="2044">
      <c r="H2044" s="26" t="inlineStr">
        <is>
          <t>RAS AMBA HOTEL PLC</t>
        </is>
      </c>
    </row>
    <row r="2045">
      <c r="H2045" s="26" t="inlineStr">
        <is>
          <t>RAS HOTEL HARER</t>
        </is>
      </c>
    </row>
    <row r="2046">
      <c r="H2046" s="26" t="inlineStr">
        <is>
          <t>REACH OUT SUPPLY SOLUTIONS</t>
        </is>
      </c>
    </row>
    <row r="2047">
      <c r="H2047" s="26" t="inlineStr">
        <is>
          <t>REACHANOTHER PHARMACEUTICALS AND MEDICAL EQUIPMENT</t>
        </is>
      </c>
    </row>
    <row r="2048">
      <c r="H2048" s="26" t="inlineStr">
        <is>
          <t>REAZ ENGINEERING AND CON PLC</t>
        </is>
      </c>
    </row>
    <row r="2049">
      <c r="H2049" s="26" t="inlineStr">
        <is>
          <t>REBEKA ZENAWI TEKOLA</t>
        </is>
      </c>
    </row>
    <row r="2050">
      <c r="H2050" s="26" t="inlineStr">
        <is>
          <t>RED CLOUD</t>
        </is>
      </c>
    </row>
    <row r="2051">
      <c r="H2051" s="26" t="inlineStr">
        <is>
          <t>RED LION ELECTRIC MATERIAL PLC</t>
        </is>
      </c>
    </row>
    <row r="2052">
      <c r="H2052" s="26" t="inlineStr">
        <is>
          <t>RED SEA LOUNGE</t>
        </is>
      </c>
    </row>
    <row r="2053">
      <c r="H2053" s="26" t="inlineStr">
        <is>
          <t>REDA GIRMAY LEMA</t>
        </is>
      </c>
    </row>
    <row r="2054">
      <c r="H2054" s="26" t="inlineStr">
        <is>
          <t>REDIET TAFESSE ZELEKE</t>
        </is>
      </c>
    </row>
    <row r="2055">
      <c r="H2055" s="26" t="inlineStr">
        <is>
          <t>REDIUNAN NUREDIN</t>
        </is>
      </c>
    </row>
    <row r="2056">
      <c r="H2056" s="26" t="inlineStr">
        <is>
          <t>REDWAN ENDASHAW ASEFA</t>
        </is>
      </c>
    </row>
    <row r="2057">
      <c r="H2057" s="26" t="inlineStr">
        <is>
          <t>REFENTI APARTMENT COMPLEX PLC</t>
        </is>
      </c>
    </row>
    <row r="2058">
      <c r="H2058" s="26" t="inlineStr">
        <is>
          <t>REFRUCK  TRADING PLC</t>
        </is>
      </c>
    </row>
    <row r="2059">
      <c r="H2059" s="26" t="inlineStr">
        <is>
          <t>REGASSA DENO</t>
        </is>
      </c>
    </row>
    <row r="2060">
      <c r="H2060" s="26" t="inlineStr">
        <is>
          <t>REKIK ONE MEMBER PLC</t>
        </is>
      </c>
    </row>
    <row r="2061">
      <c r="H2061" s="26" t="inlineStr">
        <is>
          <t>REKIK TRADING PLC</t>
        </is>
      </c>
    </row>
    <row r="2062">
      <c r="H2062" s="26" t="inlineStr">
        <is>
          <t>RELY TRADING PLC</t>
        </is>
      </c>
    </row>
    <row r="2063">
      <c r="H2063" s="26" t="inlineStr">
        <is>
          <t>REMLA AWOL HUSSEN</t>
        </is>
      </c>
    </row>
    <row r="2064">
      <c r="H2064" s="26" t="inlineStr">
        <is>
          <t>REVAYAH GENERAL TRADING PLC</t>
        </is>
      </c>
    </row>
    <row r="2065">
      <c r="H2065" s="26" t="inlineStr">
        <is>
          <t>REY IMPORT AND EXPORT PLC</t>
        </is>
      </c>
    </row>
    <row r="2066">
      <c r="H2066" s="26" t="inlineStr">
        <is>
          <t>RHINO CABLE MANUFACTURING PLC</t>
        </is>
      </c>
    </row>
    <row r="2067">
      <c r="H2067" s="26" t="inlineStr">
        <is>
          <t>RICH LAND BIOCHEMICAL PRODUCTION PLC</t>
        </is>
      </c>
    </row>
    <row r="2068">
      <c r="H2068" s="26" t="inlineStr">
        <is>
          <t>RICHOS DESIGN GIFTS SHOP JEWELLERY</t>
        </is>
      </c>
    </row>
    <row r="2069">
      <c r="H2069" s="26" t="inlineStr">
        <is>
          <t>RICO TRADING</t>
        </is>
      </c>
    </row>
    <row r="2070">
      <c r="H2070" s="26" t="inlineStr">
        <is>
          <t>RIES ENGINEERING SHARE COMPANY</t>
        </is>
      </c>
    </row>
    <row r="2071">
      <c r="H2071" s="26" t="inlineStr">
        <is>
          <t>RIFT VALLEY UNIVERSITY</t>
        </is>
      </c>
    </row>
    <row r="2072">
      <c r="H2072" s="26" t="inlineStr">
        <is>
          <t>RIFT VALLEY UNIVERSITY TEACHING AND HOSPITAL PLC</t>
        </is>
      </c>
    </row>
    <row r="2073">
      <c r="H2073" s="26" t="inlineStr">
        <is>
          <t>RIFTVALLEY HOTEL</t>
        </is>
      </c>
    </row>
    <row r="2074">
      <c r="H2074" s="26" t="inlineStr">
        <is>
          <t>RIGHT ICT SOLUTIONS PLC</t>
        </is>
      </c>
    </row>
    <row r="2075">
      <c r="H2075" s="26" t="inlineStr">
        <is>
          <t>RIHAN ALI AREDO</t>
        </is>
      </c>
    </row>
    <row r="2076">
      <c r="H2076" s="26" t="inlineStr">
        <is>
          <t>ROBELA PHARMACY</t>
        </is>
      </c>
    </row>
    <row r="2077">
      <c r="H2077" s="26" t="inlineStr">
        <is>
          <t>ROBERA FEYISA ARARESA</t>
        </is>
      </c>
    </row>
    <row r="2078">
      <c r="H2078" s="26" t="inlineStr">
        <is>
          <t>ROBERA PLC</t>
        </is>
      </c>
    </row>
    <row r="2079">
      <c r="H2079" s="26" t="inlineStr">
        <is>
          <t>ROBIT INTERNATIONAL</t>
        </is>
      </c>
    </row>
    <row r="2080">
      <c r="H2080" s="26" t="inlineStr">
        <is>
          <t>ROFA MANUFACTURING PLC</t>
        </is>
      </c>
    </row>
    <row r="2081">
      <c r="H2081" s="26" t="inlineStr">
        <is>
          <t>ROHA HOTEL</t>
        </is>
      </c>
    </row>
    <row r="2082">
      <c r="H2082" s="26" t="inlineStr">
        <is>
          <t>ROMAN ABIY SERTSEWOLD</t>
        </is>
      </c>
    </row>
    <row r="2083">
      <c r="H2083" s="26" t="inlineStr">
        <is>
          <t>ROMAN DEMEKECH AND IYASU PLC</t>
        </is>
      </c>
    </row>
    <row r="2084">
      <c r="H2084" s="26" t="inlineStr">
        <is>
          <t>ROMAN WOLDE GEBREGIORGIS (ROMI CAFE RESTAURANT AND CATERING)</t>
        </is>
      </c>
    </row>
    <row r="2085">
      <c r="H2085" s="26" t="inlineStr">
        <is>
          <t>ROME BURGER(DAWIT KINFE ZEGEYE)</t>
        </is>
      </c>
    </row>
    <row r="2086">
      <c r="H2086" s="26" t="inlineStr">
        <is>
          <t>ROMINA PLC</t>
        </is>
      </c>
    </row>
    <row r="2087">
      <c r="H2087" s="26" t="inlineStr">
        <is>
          <t>ROMITA CAFFE AND RESTAURANT</t>
        </is>
      </c>
    </row>
    <row r="2088">
      <c r="H2088" s="26" t="inlineStr">
        <is>
          <t>RONALI CONSRTUCTION PLC</t>
        </is>
      </c>
    </row>
    <row r="2089">
      <c r="H2089" s="26" t="inlineStr">
        <is>
          <t>ROOMADORE HOSPITALITY PLC</t>
        </is>
      </c>
    </row>
    <row r="2090">
      <c r="H2090" s="26" t="inlineStr">
        <is>
          <t>ROSAND CAFE AND RESTAURANT PLC</t>
        </is>
      </c>
    </row>
    <row r="2091">
      <c r="H2091" s="26" t="inlineStr">
        <is>
          <t>ROSE LUXURY SUITES ONE MEMBER PLC</t>
        </is>
      </c>
    </row>
    <row r="2092">
      <c r="H2092" s="26" t="inlineStr">
        <is>
          <t>ROSEMARY HOTEL</t>
        </is>
      </c>
    </row>
    <row r="2093">
      <c r="H2093" s="26" t="inlineStr">
        <is>
          <t>ROSHANARA ROSES PLC</t>
        </is>
      </c>
    </row>
    <row r="2094">
      <c r="H2094" s="26" t="inlineStr">
        <is>
          <t>ROSMARY TRADING PLC</t>
        </is>
      </c>
    </row>
    <row r="2095">
      <c r="H2095" s="26" t="inlineStr">
        <is>
          <t>ROZA WELDEABEZGI ASSEGEHEY</t>
        </is>
      </c>
    </row>
    <row r="2096">
      <c r="H2096" s="26" t="inlineStr">
        <is>
          <t>RUFTANA TRADING PLC</t>
        </is>
      </c>
    </row>
    <row r="2097">
      <c r="H2097" s="26" t="inlineStr">
        <is>
          <t>RUNGO DIPLOMATIC TRADING PLC</t>
        </is>
      </c>
    </row>
    <row r="2098">
      <c r="H2098" s="26" t="inlineStr">
        <is>
          <t>RUNWAY HOTEL</t>
        </is>
      </c>
    </row>
    <row r="2099">
      <c r="H2099" s="26" t="inlineStr">
        <is>
          <t>RUTH MOGES HAILE</t>
        </is>
      </c>
    </row>
    <row r="2100">
      <c r="H2100" s="26" t="inlineStr">
        <is>
          <t>S.G.S HOTEL</t>
        </is>
      </c>
    </row>
    <row r="2101">
      <c r="H2101" s="26" t="inlineStr">
        <is>
          <t>SAAA DAIRY PLC</t>
        </is>
      </c>
    </row>
    <row r="2102">
      <c r="H2102" s="26" t="inlineStr">
        <is>
          <t>SAAT TRADING PLC</t>
        </is>
      </c>
    </row>
    <row r="2103">
      <c r="H2103" s="26" t="inlineStr">
        <is>
          <t>SAB GENERAL TRADING PLC</t>
        </is>
      </c>
    </row>
    <row r="2104">
      <c r="H2104" s="26" t="inlineStr">
        <is>
          <t>SABA GEBREMARIAM GEBRETSADIK( RECHEL CAFE)</t>
        </is>
      </c>
    </row>
    <row r="2105">
      <c r="H2105" s="26" t="inlineStr">
        <is>
          <t>SABEH ALMUNIUM AND METAL WORK PLC</t>
        </is>
      </c>
    </row>
    <row r="2106">
      <c r="H2106" s="26" t="inlineStr">
        <is>
          <t>SABEH WORLD FOOD</t>
        </is>
      </c>
    </row>
    <row r="2107">
      <c r="H2107" s="26" t="inlineStr">
        <is>
          <t>SABEH WORLD TRADING PLC</t>
        </is>
      </c>
    </row>
    <row r="2108">
      <c r="H2108" s="26" t="inlineStr">
        <is>
          <t>SABON HOTEL</t>
        </is>
      </c>
    </row>
    <row r="2109">
      <c r="H2109" s="26" t="inlineStr">
        <is>
          <t>SADAN PHARMACEUTICALS MEDICINE AND MEDICAL DEVICE IMP</t>
        </is>
      </c>
    </row>
    <row r="2110">
      <c r="H2110" s="26" t="inlineStr">
        <is>
          <t>SADOR ALUMINIUM TECHNIQUES PLC</t>
        </is>
      </c>
    </row>
    <row r="2111">
      <c r="H2111" s="26" t="inlineStr">
        <is>
          <t>SADULA TRADING PLC</t>
        </is>
      </c>
    </row>
    <row r="2112">
      <c r="H2112" s="26" t="inlineStr">
        <is>
          <t>SAFE ZONE TRADING PLC</t>
        </is>
      </c>
    </row>
    <row r="2113">
      <c r="H2113" s="26" t="inlineStr">
        <is>
          <t>SAGLAN WAJI GENERAL HOSPITAL PRIVATE ENTERPRISE</t>
        </is>
      </c>
    </row>
    <row r="2114">
      <c r="H2114" s="26" t="inlineStr">
        <is>
          <t>SAKURA RESTAURANT PLC</t>
        </is>
      </c>
    </row>
    <row r="2115">
      <c r="H2115" s="26" t="inlineStr">
        <is>
          <t>SALAH TRADING PLC</t>
        </is>
      </c>
    </row>
    <row r="2116">
      <c r="H2116" s="26" t="inlineStr">
        <is>
          <t>SALAYESE VILAGE PLC</t>
        </is>
      </c>
    </row>
    <row r="2117">
      <c r="H2117" s="26" t="inlineStr">
        <is>
          <t>SALEM DESIGN PLC</t>
        </is>
      </c>
    </row>
    <row r="2118">
      <c r="H2118" s="26" t="inlineStr">
        <is>
          <t>SALEM TESFAYE ARAGAW</t>
        </is>
      </c>
    </row>
    <row r="2119">
      <c r="H2119" s="26" t="inlineStr">
        <is>
          <t>SALEM TRADING PLC</t>
        </is>
      </c>
    </row>
    <row r="2120">
      <c r="H2120" s="26" t="inlineStr">
        <is>
          <t>SALIM JEMAL FITUIE</t>
        </is>
      </c>
    </row>
    <row r="2121">
      <c r="H2121" s="26" t="inlineStr">
        <is>
          <t>SAM PHARMACEUTICALS AND MEDICAL SUPPLIES IMPORTER</t>
        </is>
      </c>
    </row>
    <row r="2122">
      <c r="H2122" s="26" t="inlineStr">
        <is>
          <t>SAMARITAN MEDICAL SERVICES PLC</t>
        </is>
      </c>
    </row>
    <row r="2123">
      <c r="H2123" s="26" t="inlineStr">
        <is>
          <t>SAMATAR ELMI GUESSOD</t>
        </is>
      </c>
    </row>
    <row r="2124">
      <c r="H2124" s="26" t="inlineStr">
        <is>
          <t>SAMMAKKA STONES PLC</t>
        </is>
      </c>
    </row>
    <row r="2125">
      <c r="H2125" s="26" t="inlineStr">
        <is>
          <t>SAMRAT HOTEL PLC</t>
        </is>
      </c>
    </row>
    <row r="2126">
      <c r="H2126" s="26" t="inlineStr">
        <is>
          <t>SAMRAWIT ENDALE</t>
        </is>
      </c>
    </row>
    <row r="2127">
      <c r="H2127" s="26" t="inlineStr">
        <is>
          <t>SAMRAWIT NEGUSSIE(MELT ADDIS)</t>
        </is>
      </c>
    </row>
    <row r="2128">
      <c r="H2128" s="26" t="inlineStr">
        <is>
          <t>SAMSON FEREDE DEMOZE</t>
        </is>
      </c>
    </row>
    <row r="2129">
      <c r="H2129" s="26" t="inlineStr">
        <is>
          <t>SAMSON GBEYEHU FELEKE</t>
        </is>
      </c>
    </row>
    <row r="2130">
      <c r="H2130" s="26" t="inlineStr">
        <is>
          <t>SAMSON GIRMA HAILE</t>
        </is>
      </c>
    </row>
    <row r="2131">
      <c r="H2131" s="26" t="inlineStr">
        <is>
          <t>SAMSON MULUGETA WELDESLASEA</t>
        </is>
      </c>
    </row>
    <row r="2132">
      <c r="H2132" s="26" t="inlineStr">
        <is>
          <t>SAMSON NEGA BONGER</t>
        </is>
      </c>
    </row>
    <row r="2133">
      <c r="H2133" s="26" t="inlineStr">
        <is>
          <t>SAMSON PARSEGIYAN YOHANNES</t>
        </is>
      </c>
    </row>
    <row r="2134">
      <c r="H2134" s="26" t="inlineStr">
        <is>
          <t>SAMSON WUBSHET WOLDEAMANUEL</t>
        </is>
      </c>
    </row>
    <row r="2135">
      <c r="H2135" s="26" t="inlineStr">
        <is>
          <t>SAMUEL AMBAYE WOLDELULE</t>
        </is>
      </c>
    </row>
    <row r="2136">
      <c r="H2136" s="26" t="inlineStr">
        <is>
          <t>SAMUEL GONFA KONDE</t>
        </is>
      </c>
    </row>
    <row r="2137">
      <c r="H2137" s="26" t="inlineStr">
        <is>
          <t>SAMUEL STEPHANE DESJOBERT</t>
        </is>
      </c>
    </row>
    <row r="2138">
      <c r="H2138" s="26" t="inlineStr">
        <is>
          <t>SAN TRADING PLC</t>
        </is>
      </c>
    </row>
    <row r="2139">
      <c r="H2139" s="26" t="inlineStr">
        <is>
          <t>SANIS REAL STATE</t>
        </is>
      </c>
    </row>
    <row r="2140">
      <c r="H2140" s="26" t="inlineStr">
        <is>
          <t>SANIYA MAREGNE MOHAMMED</t>
        </is>
      </c>
    </row>
    <row r="2141">
      <c r="H2141" s="26" t="inlineStr">
        <is>
          <t>SANKOKE TRADING PLC</t>
        </is>
      </c>
    </row>
    <row r="2142">
      <c r="H2142" s="26" t="inlineStr">
        <is>
          <t>SANSHENG BULDING</t>
        </is>
      </c>
    </row>
    <row r="2143">
      <c r="H2143" s="26" t="inlineStr">
        <is>
          <t>SANSHENG PHARMACEUTICAL PLC</t>
        </is>
      </c>
    </row>
    <row r="2144">
      <c r="H2144" s="26" t="inlineStr">
        <is>
          <t>SANTE INTERNAL MEDICINE SPECIALITY CENTER</t>
        </is>
      </c>
    </row>
    <row r="2145">
      <c r="H2145" s="26" t="inlineStr">
        <is>
          <t>SAR AND K TRADING PLC</t>
        </is>
      </c>
    </row>
    <row r="2146">
      <c r="H2146" s="26" t="inlineStr">
        <is>
          <t>SARA ABDULRAHIM MOHAMMED</t>
        </is>
      </c>
    </row>
    <row r="2147">
      <c r="H2147" s="26" t="inlineStr">
        <is>
          <t>SARA ABERA ALEMU</t>
        </is>
      </c>
    </row>
    <row r="2148">
      <c r="H2148" s="26" t="inlineStr">
        <is>
          <t>SARATNMAK PLC</t>
        </is>
      </c>
    </row>
    <row r="2149">
      <c r="H2149" s="26" t="inlineStr">
        <is>
          <t>SAREL TRADING PLC</t>
        </is>
      </c>
    </row>
    <row r="2150">
      <c r="H2150" s="26" t="inlineStr">
        <is>
          <t>SARMISO SANA SAMARO</t>
        </is>
      </c>
    </row>
    <row r="2151">
      <c r="H2151" s="26" t="inlineStr">
        <is>
          <t>SARON MEHAR(MEDAL HOTEL)</t>
        </is>
      </c>
    </row>
    <row r="2152">
      <c r="H2152" s="26" t="inlineStr">
        <is>
          <t>SARON TRADE AND INDUSTRY PLC(DELIGHT HOTEL)</t>
        </is>
      </c>
    </row>
    <row r="2153">
      <c r="H2153" s="26" t="inlineStr">
        <is>
          <t>SATURN INTERNATIONAL BUSINESS PLC</t>
        </is>
      </c>
    </row>
    <row r="2154">
      <c r="H2154" s="26" t="inlineStr">
        <is>
          <t>SAWIME GENERAL TRADING PLC</t>
        </is>
      </c>
    </row>
    <row r="2155">
      <c r="H2155" s="26" t="inlineStr">
        <is>
          <t>SBKK GENERAL TRADING</t>
        </is>
      </c>
    </row>
    <row r="2156">
      <c r="H2156" s="26" t="inlineStr">
        <is>
          <t>SC FOODS CO PLC</t>
        </is>
      </c>
    </row>
    <row r="2157">
      <c r="H2157" s="26" t="inlineStr">
        <is>
          <t>SCHOOL OF TOMORROW</t>
        </is>
      </c>
    </row>
    <row r="2158">
      <c r="H2158" s="26" t="inlineStr">
        <is>
          <t>SCIONTEK MACHINERIES IMPORT TRADING PLC</t>
        </is>
      </c>
    </row>
    <row r="2159">
      <c r="H2159" s="26" t="inlineStr">
        <is>
          <t>SDM COMPUTING TECHNOLOGY</t>
        </is>
      </c>
    </row>
    <row r="2160">
      <c r="H2160" s="26" t="inlineStr">
        <is>
          <t>SEAD ZEYNU MOHAMMED</t>
        </is>
      </c>
    </row>
    <row r="2161">
      <c r="H2161" s="26" t="inlineStr">
        <is>
          <t>SEAMLESS BUSINESS DEVELOPMENT PLC(SEAMLESS HOTEL)</t>
        </is>
      </c>
    </row>
    <row r="2162">
      <c r="H2162" s="26" t="inlineStr">
        <is>
          <t>SEATAT TRADING PLC</t>
        </is>
      </c>
    </row>
    <row r="2163">
      <c r="H2163" s="26" t="inlineStr">
        <is>
          <t>SEBA DEREJA HOTEL PLC</t>
        </is>
      </c>
    </row>
    <row r="2164">
      <c r="H2164" s="26" t="inlineStr">
        <is>
          <t>SEBEHA TRADING PLC</t>
        </is>
      </c>
    </row>
    <row r="2165">
      <c r="H2165" s="26" t="inlineStr">
        <is>
          <t>SEBLE ARGAW DEMISSIE</t>
        </is>
      </c>
    </row>
    <row r="2166">
      <c r="H2166" s="26" t="inlineStr">
        <is>
          <t>SEBLEWONGELL DEBEBE ABI</t>
        </is>
      </c>
    </row>
    <row r="2167">
      <c r="H2167" s="26" t="inlineStr">
        <is>
          <t>SEBRIA HOTEL</t>
        </is>
      </c>
    </row>
    <row r="2168">
      <c r="H2168" s="26" t="inlineStr">
        <is>
          <t>SECURICOR ETHIOPIA PLC</t>
        </is>
      </c>
    </row>
    <row r="2169">
      <c r="H2169" s="26" t="inlineStr">
        <is>
          <t>SEEDS FOR GOGOTHER TRADING PLC</t>
        </is>
      </c>
    </row>
    <row r="2170">
      <c r="H2170" s="26" t="inlineStr">
        <is>
          <t>SEFA AND FAMILY BUSINESS PLC</t>
        </is>
      </c>
    </row>
    <row r="2171">
      <c r="H2171" s="26" t="inlineStr">
        <is>
          <t>SEFA TYRE SERVICE</t>
        </is>
      </c>
    </row>
    <row r="2172">
      <c r="H2172" s="26" t="inlineStr">
        <is>
          <t>SEID ESMAELE WAGO</t>
        </is>
      </c>
    </row>
    <row r="2173">
      <c r="H2173" s="26" t="inlineStr">
        <is>
          <t>SEID MOHAMMED AHMED(INAYAZ IMPORT TRADE)</t>
        </is>
      </c>
    </row>
    <row r="2174">
      <c r="H2174" s="26" t="inlineStr">
        <is>
          <t>SEID YASSIN PLC</t>
        </is>
      </c>
    </row>
    <row r="2175">
      <c r="H2175" s="26" t="inlineStr">
        <is>
          <t>SEIFU SOLOMON</t>
        </is>
      </c>
    </row>
    <row r="2176">
      <c r="H2176" s="26" t="inlineStr">
        <is>
          <t>SELAJAGIR TRADING PLC</t>
        </is>
      </c>
    </row>
    <row r="2177">
      <c r="H2177" s="26" t="inlineStr">
        <is>
          <t>SELAM PARK HOTEL PLC</t>
        </is>
      </c>
    </row>
    <row r="2178">
      <c r="H2178" s="26" t="inlineStr">
        <is>
          <t>SELAMAWIT ASRAT JIGSA</t>
        </is>
      </c>
    </row>
    <row r="2179">
      <c r="H2179" s="26" t="inlineStr">
        <is>
          <t>SELAMAWIT BANATA DIDO</t>
        </is>
      </c>
    </row>
    <row r="2180">
      <c r="H2180" s="26" t="inlineStr">
        <is>
          <t>SELAMAWIT GETACHEW ABATE</t>
        </is>
      </c>
    </row>
    <row r="2181">
      <c r="H2181" s="26" t="inlineStr">
        <is>
          <t>SELAMAWIT MEKONNEN YOSEF</t>
        </is>
      </c>
    </row>
    <row r="2182">
      <c r="H2182" s="26" t="inlineStr">
        <is>
          <t>SELAMAWIT TESHOME KASAHUN</t>
        </is>
      </c>
    </row>
    <row r="2183">
      <c r="H2183" s="26" t="inlineStr">
        <is>
          <t>SELAMU SEGARO</t>
        </is>
      </c>
    </row>
    <row r="2184">
      <c r="H2184" s="26" t="inlineStr">
        <is>
          <t>SELEHADIN JEMAL MEHAMMED</t>
        </is>
      </c>
    </row>
    <row r="2185">
      <c r="H2185" s="26" t="inlineStr">
        <is>
          <t>SELET HULLING PLC</t>
        </is>
      </c>
    </row>
    <row r="2186">
      <c r="H2186" s="26" t="inlineStr">
        <is>
          <t>SELOMON FESEHA KAHSAY</t>
        </is>
      </c>
    </row>
    <row r="2187">
      <c r="H2187" s="26" t="inlineStr">
        <is>
          <t>SELSHI SEHNE MEKURIAY</t>
        </is>
      </c>
    </row>
    <row r="2188">
      <c r="H2188" s="26" t="inlineStr">
        <is>
          <t>SEMAHEGNE MESERET MELAK</t>
        </is>
      </c>
    </row>
    <row r="2189">
      <c r="H2189" s="26" t="inlineStr">
        <is>
          <t>SEMAY PHARMACY</t>
        </is>
      </c>
    </row>
    <row r="2190">
      <c r="H2190" s="26" t="inlineStr">
        <is>
          <t>SEMERA BIRU YADETE(YE AJET KITFO)</t>
        </is>
      </c>
    </row>
    <row r="2191">
      <c r="H2191" s="26" t="inlineStr">
        <is>
          <t>SEMERE KIDANE ALI</t>
        </is>
      </c>
    </row>
    <row r="2192">
      <c r="H2192" s="26" t="inlineStr">
        <is>
          <t>SEMHAR TESFAYOHANNES BERHANE</t>
        </is>
      </c>
    </row>
    <row r="2193">
      <c r="H2193" s="26" t="inlineStr">
        <is>
          <t>SEMOFERIA TRADING PLC</t>
        </is>
      </c>
    </row>
    <row r="2194">
      <c r="H2194" s="26" t="inlineStr">
        <is>
          <t>SENAIT NIGUSSIE</t>
        </is>
      </c>
    </row>
    <row r="2195">
      <c r="H2195" s="26" t="inlineStr">
        <is>
          <t>SENAYIT GEBRE WOLDEMARYAM</t>
        </is>
      </c>
    </row>
    <row r="2196">
      <c r="H2196" s="26" t="inlineStr">
        <is>
          <t>SENKETA CONSTRUCTION</t>
        </is>
      </c>
    </row>
    <row r="2197">
      <c r="H2197" s="26" t="inlineStr">
        <is>
          <t>SENSA TRADING PLC</t>
        </is>
      </c>
    </row>
    <row r="2198">
      <c r="H2198" s="26" t="inlineStr">
        <is>
          <t>SENSELET  FOOD PROCESSING PLC</t>
        </is>
      </c>
    </row>
    <row r="2199">
      <c r="H2199" s="26" t="inlineStr">
        <is>
          <t>SERAWIT MULTIMEDIA PRODUCTION PLC</t>
        </is>
      </c>
    </row>
    <row r="2200">
      <c r="H2200" s="26" t="inlineStr">
        <is>
          <t>SEREGELA RIDE TAXI SERVICE PLC</t>
        </is>
      </c>
    </row>
    <row r="2201">
      <c r="H2201" s="26" t="inlineStr">
        <is>
          <t>SERKALEM GIRMA HABTESILASE</t>
        </is>
      </c>
    </row>
    <row r="2202">
      <c r="H2202" s="26" t="inlineStr">
        <is>
          <t>SERVICE ALONG THE NILE INTERNATIONAL ETHIOPIA</t>
        </is>
      </c>
    </row>
    <row r="2203">
      <c r="H2203" s="26" t="inlineStr">
        <is>
          <t>SETO PLC</t>
        </is>
      </c>
    </row>
    <row r="2204">
      <c r="H2204" s="26" t="inlineStr">
        <is>
          <t>SETS GENERAL TRADING PLC</t>
        </is>
      </c>
    </row>
    <row r="2205">
      <c r="H2205" s="26" t="inlineStr">
        <is>
          <t>SEWENET ZELEKE</t>
        </is>
      </c>
    </row>
    <row r="2206">
      <c r="H2206" s="26" t="inlineStr">
        <is>
          <t>SEYOUM ABRHAM SEYOUM</t>
        </is>
      </c>
    </row>
    <row r="2207">
      <c r="H2207" s="26" t="inlineStr">
        <is>
          <t>SHAMBEL DEMISE KEBEE</t>
        </is>
      </c>
    </row>
    <row r="2208">
      <c r="H2208" s="26" t="inlineStr">
        <is>
          <t>SHANAN HOTEL AND RESORT</t>
        </is>
      </c>
    </row>
    <row r="2209">
      <c r="H2209" s="26" t="inlineStr">
        <is>
          <t>SHANAT TRADING PLC</t>
        </is>
      </c>
    </row>
    <row r="2210">
      <c r="H2210" s="26" t="inlineStr">
        <is>
          <t>SHARP GENERAL TRADING</t>
        </is>
      </c>
    </row>
    <row r="2211">
      <c r="H2211" s="26" t="inlineStr">
        <is>
          <t>SHARP PLUS TRADING PLC</t>
        </is>
      </c>
    </row>
    <row r="2212">
      <c r="H2212" s="26" t="inlineStr">
        <is>
          <t>SHEGA COFFEE PLC</t>
        </is>
      </c>
    </row>
    <row r="2213">
      <c r="H2213" s="26" t="inlineStr">
        <is>
          <t>SHEGER LOUNGE PLC</t>
        </is>
      </c>
    </row>
    <row r="2214">
      <c r="H2214" s="26" t="inlineStr">
        <is>
          <t>SHEMBELELA HOTEL PLC</t>
        </is>
      </c>
    </row>
    <row r="2215">
      <c r="H2215" s="26" t="inlineStr">
        <is>
          <t>SHEMUYE KIROS GIDEY</t>
        </is>
      </c>
    </row>
    <row r="2216">
      <c r="H2216" s="26" t="inlineStr">
        <is>
          <t>SHENGDE CLAY AND CEMENT PRODUCTS MANUFACTURING</t>
        </is>
      </c>
    </row>
    <row r="2217">
      <c r="H2217" s="26" t="inlineStr">
        <is>
          <t>SHER ETHIOPIA HOSPITAL</t>
        </is>
      </c>
    </row>
    <row r="2218">
      <c r="H2218" s="26" t="inlineStr">
        <is>
          <t>SHEWIT GUESH GEBREYOHANS</t>
        </is>
      </c>
    </row>
    <row r="2219">
      <c r="H2219" s="26" t="inlineStr">
        <is>
          <t>SHI SOLOMON HAILU SUPERMARKET PLC</t>
        </is>
      </c>
    </row>
    <row r="2220">
      <c r="H2220" s="26" t="inlineStr">
        <is>
          <t>SHIBRE TAYE WOLDERUFAEL</t>
        </is>
      </c>
    </row>
    <row r="2221">
      <c r="H2221" s="26" t="inlineStr">
        <is>
          <t>SHIFERAW TEKLEHAIMANOT AMANUEL</t>
        </is>
      </c>
    </row>
    <row r="2222">
      <c r="H2222" s="26" t="inlineStr">
        <is>
          <t>SHIFERAW WOLDEMEDEHIN KIDANE</t>
        </is>
      </c>
    </row>
    <row r="2223">
      <c r="H2223" s="26" t="inlineStr">
        <is>
          <t>SHOA SHOPPING CENTER</t>
        </is>
      </c>
    </row>
    <row r="2224">
      <c r="H2224" s="26" t="inlineStr">
        <is>
          <t>SHOA TRADING AND INDUSTRY PLC</t>
        </is>
      </c>
    </row>
    <row r="2225">
      <c r="H2225" s="26" t="inlineStr">
        <is>
          <t>SHUNFENG BUSINESS GROUP PLC</t>
        </is>
      </c>
    </row>
    <row r="2226">
      <c r="H2226" s="26" t="inlineStr">
        <is>
          <t>SIDRA INTERNATIONAL HOTEL</t>
        </is>
      </c>
    </row>
    <row r="2227">
      <c r="H2227" s="26" t="inlineStr">
        <is>
          <t>SIGN ELECTRICAL MATERIAL</t>
        </is>
      </c>
    </row>
    <row r="2228">
      <c r="H2228" s="26" t="inlineStr">
        <is>
          <t>SIKA ABYSSINIA CHEMICALS MANUFACTURING PLC</t>
        </is>
      </c>
    </row>
    <row r="2229">
      <c r="H2229" s="26" t="inlineStr">
        <is>
          <t>SILICHA TRADING PLC</t>
        </is>
      </c>
    </row>
    <row r="2230">
      <c r="H2230" s="26" t="inlineStr">
        <is>
          <t>SILVER LINING TRADING PLC</t>
        </is>
      </c>
    </row>
    <row r="2231">
      <c r="H2231" s="26" t="inlineStr">
        <is>
          <t>SILVER SPRING PRODUCTION AND PROMOTION PLC (EBS TV)</t>
        </is>
      </c>
    </row>
    <row r="2232">
      <c r="H2232" s="26" t="inlineStr">
        <is>
          <t>SIMBA PLC</t>
        </is>
      </c>
    </row>
    <row r="2233">
      <c r="H2233" s="26" t="inlineStr">
        <is>
          <t>SIMBA TRADING PLC</t>
        </is>
      </c>
    </row>
    <row r="2234">
      <c r="H2234" s="26" t="inlineStr">
        <is>
          <t>SIMON MEZGEBU MUREZA</t>
        </is>
      </c>
    </row>
    <row r="2235">
      <c r="H2235" s="26" t="inlineStr">
        <is>
          <t>SIMPOLO TRADING PLC</t>
        </is>
      </c>
    </row>
    <row r="2236">
      <c r="H2236" s="26" t="inlineStr">
        <is>
          <t>SIMRET TAKELE WOJEGE</t>
        </is>
      </c>
    </row>
    <row r="2237">
      <c r="H2237" s="26" t="inlineStr">
        <is>
          <t>SINGITAN ENGINEERING PLC</t>
        </is>
      </c>
    </row>
    <row r="2238">
      <c r="H2238" s="26" t="inlineStr">
        <is>
          <t>SINKNESH ASHENAFI KIDANE</t>
        </is>
      </c>
    </row>
    <row r="2239">
      <c r="H2239" s="26" t="inlineStr">
        <is>
          <t>SINTAYEHU NESIBU PLC</t>
        </is>
      </c>
    </row>
    <row r="2240">
      <c r="H2240" s="26" t="inlineStr">
        <is>
          <t>SINTAYEHU SERMESSA BOKISO</t>
        </is>
      </c>
    </row>
    <row r="2241">
      <c r="H2241" s="26" t="inlineStr">
        <is>
          <t>SIRAK SHIBRU KABTIMERE MAMIGAS PHARMACEUTICALS IMPORT</t>
        </is>
      </c>
    </row>
    <row r="2242">
      <c r="H2242" s="26" t="inlineStr">
        <is>
          <t>SISAY ZARIFU WYOHANIS</t>
        </is>
      </c>
    </row>
    <row r="2243">
      <c r="H2243" s="26" t="inlineStr">
        <is>
          <t>SISHU RECREATIONAL SERVICES PLC</t>
        </is>
      </c>
    </row>
    <row r="2244">
      <c r="H2244" s="26" t="inlineStr">
        <is>
          <t>SISTER AKLESIA MEMORIAL GENERAL HOSPITAL</t>
        </is>
      </c>
    </row>
    <row r="2245">
      <c r="H2245" s="26" t="inlineStr">
        <is>
          <t>SITOTA CENTER FOR MENTAL HEALTH CARE PLC</t>
        </is>
      </c>
    </row>
    <row r="2246">
      <c r="H2246" s="26" t="inlineStr">
        <is>
          <t>SIYAMREBESH ETHIOPIAYE ONE MEMBER PLC</t>
        </is>
      </c>
    </row>
    <row r="2247">
      <c r="H2247" s="26" t="inlineStr">
        <is>
          <t>SIYAMREGN GETAHUN LEMA</t>
        </is>
      </c>
    </row>
    <row r="2248">
      <c r="H2248" s="26" t="inlineStr">
        <is>
          <t>SIZ AGRO PLC</t>
        </is>
      </c>
    </row>
    <row r="2249">
      <c r="H2249" s="26" t="inlineStr">
        <is>
          <t>SKYGATE DUTYFREE PLC</t>
        </is>
      </c>
    </row>
    <row r="2250">
      <c r="H2250" s="26" t="inlineStr">
        <is>
          <t>SMASH BURGERS</t>
        </is>
      </c>
    </row>
    <row r="2251">
      <c r="H2251" s="26" t="inlineStr">
        <is>
          <t>SMILE ONE MEMBER PLC</t>
        </is>
      </c>
    </row>
    <row r="2252">
      <c r="H2252" s="26" t="inlineStr">
        <is>
          <t>SMN TEXTILE PLC</t>
        </is>
      </c>
    </row>
    <row r="2253">
      <c r="H2253" s="26" t="inlineStr">
        <is>
          <t>SNAP TRADING AND INDUSTRY PLC</t>
        </is>
      </c>
    </row>
    <row r="2254">
      <c r="H2254" s="26" t="inlineStr">
        <is>
          <t>SNFD BAKERY PLC</t>
        </is>
      </c>
    </row>
    <row r="2255">
      <c r="H2255" s="26" t="inlineStr">
        <is>
          <t>SNS FURNITURE MANUFACTURING</t>
        </is>
      </c>
    </row>
    <row r="2256">
      <c r="H2256" s="26" t="inlineStr">
        <is>
          <t>SOBEK GENERAL TRADING PLC</t>
        </is>
      </c>
    </row>
    <row r="2257">
      <c r="H2257" s="26" t="inlineStr">
        <is>
          <t>SOCIETY BAR AND RESTURANT</t>
        </is>
      </c>
    </row>
    <row r="2258">
      <c r="H2258" s="26" t="inlineStr">
        <is>
          <t>SODDO CHRISTAN HOSPITAL</t>
        </is>
      </c>
    </row>
    <row r="2259">
      <c r="H2259" s="26" t="inlineStr">
        <is>
          <t>SOFIYA YESUF AGI</t>
        </is>
      </c>
    </row>
    <row r="2260">
      <c r="H2260" s="26" t="inlineStr">
        <is>
          <t>SOFTZONE INFORMATION TECHNOLOGY PLC</t>
        </is>
      </c>
    </row>
    <row r="2261">
      <c r="H2261" s="26" t="inlineStr">
        <is>
          <t>SOHO LOUNGE PLC</t>
        </is>
      </c>
    </row>
    <row r="2262">
      <c r="H2262" s="26" t="inlineStr">
        <is>
          <t>SOL YANA TRADING AND INVESTMENT</t>
        </is>
      </c>
    </row>
    <row r="2263">
      <c r="H2263" s="26" t="inlineStr">
        <is>
          <t>SOLACE LOUNGE ONE MEMBER PLC</t>
        </is>
      </c>
    </row>
    <row r="2264">
      <c r="H2264" s="26" t="inlineStr">
        <is>
          <t>SOLAST PLC</t>
        </is>
      </c>
    </row>
    <row r="2265">
      <c r="H2265" s="26" t="inlineStr">
        <is>
          <t>SOLID ROCK PLC</t>
        </is>
      </c>
    </row>
    <row r="2266">
      <c r="H2266" s="26" t="inlineStr">
        <is>
          <t>SOLIJAM BUSINESS PLC</t>
        </is>
      </c>
    </row>
    <row r="2267">
      <c r="H2267" s="26" t="inlineStr">
        <is>
          <t>SOLKONLAND BUSINESS PLC</t>
        </is>
      </c>
    </row>
    <row r="2268">
      <c r="H2268" s="26" t="inlineStr">
        <is>
          <t>SOLNATH TRADING PLC</t>
        </is>
      </c>
    </row>
    <row r="2269">
      <c r="H2269" s="26" t="inlineStr">
        <is>
          <t>SOLNOVA ENERGY IMPORT PLC</t>
        </is>
      </c>
    </row>
    <row r="2270">
      <c r="H2270" s="26" t="inlineStr">
        <is>
          <t>SOLO MAJET TRADING PLC</t>
        </is>
      </c>
    </row>
    <row r="2271">
      <c r="H2271" s="26" t="inlineStr">
        <is>
          <t>SOLODA PHARMACY</t>
        </is>
      </c>
    </row>
    <row r="2272">
      <c r="H2272" s="26" t="inlineStr">
        <is>
          <t>SOLOMON ALEMSEGED HAILU</t>
        </is>
      </c>
    </row>
    <row r="2273">
      <c r="H2273" s="26" t="inlineStr">
        <is>
          <t>SOLOMON ALEMU WONDEMENEH</t>
        </is>
      </c>
    </row>
    <row r="2274">
      <c r="H2274" s="26" t="inlineStr">
        <is>
          <t>SOLOMON BETEMARIAM HARAR</t>
        </is>
      </c>
    </row>
    <row r="2275">
      <c r="H2275" s="26" t="inlineStr">
        <is>
          <t>SOLOMON BETEMARIAM YIRNA</t>
        </is>
      </c>
    </row>
    <row r="2276">
      <c r="H2276" s="26" t="inlineStr">
        <is>
          <t>SOLOMON CHERENT WOLDEMARIAM</t>
        </is>
      </c>
    </row>
    <row r="2277">
      <c r="H2277" s="26" t="inlineStr">
        <is>
          <t>SOLOMON DEMISSE</t>
        </is>
      </c>
    </row>
    <row r="2278">
      <c r="H2278" s="26" t="inlineStr">
        <is>
          <t>SOLOMON GEBREMIKAEL CHEGIYE</t>
        </is>
      </c>
    </row>
    <row r="2279">
      <c r="H2279" s="26" t="inlineStr">
        <is>
          <t>SOLOMON T/SENBET G/EGZIIABHER</t>
        </is>
      </c>
    </row>
    <row r="2280">
      <c r="H2280" s="26" t="inlineStr">
        <is>
          <t>SOLOMON TSEGAYE BIRHANE</t>
        </is>
      </c>
    </row>
    <row r="2281">
      <c r="H2281" s="26" t="inlineStr">
        <is>
          <t>SOLROS TRADING PLC</t>
        </is>
      </c>
    </row>
    <row r="2282">
      <c r="H2282" s="26" t="inlineStr">
        <is>
          <t>SOLUTIONSAE ETHIOPIA TRADING PLC</t>
        </is>
      </c>
    </row>
    <row r="2283">
      <c r="H2283" s="26" t="inlineStr">
        <is>
          <t>SOLVER TRADING PLC</t>
        </is>
      </c>
    </row>
    <row r="2284">
      <c r="H2284" s="26" t="inlineStr">
        <is>
          <t>SOLYANA PHARMACEUTICAL</t>
        </is>
      </c>
    </row>
    <row r="2285">
      <c r="H2285" s="26" t="inlineStr">
        <is>
          <t>SONAN TRADING PLC</t>
        </is>
      </c>
    </row>
    <row r="2286">
      <c r="H2286" s="26" t="inlineStr">
        <is>
          <t>SORA HOSPITALITY GROUP PLC</t>
        </is>
      </c>
    </row>
    <row r="2287">
      <c r="H2287" s="26" t="inlineStr">
        <is>
          <t>SORAMBA HOTEL BUSINESS PLC</t>
        </is>
      </c>
    </row>
    <row r="2288">
      <c r="H2288" s="26" t="inlineStr">
        <is>
          <t>SORECHA LATA YAI</t>
        </is>
      </c>
    </row>
    <row r="2289">
      <c r="H2289" s="26" t="inlineStr">
        <is>
          <t>SORENIE IMPORT AND EXPORT PLC</t>
        </is>
      </c>
    </row>
    <row r="2290">
      <c r="H2290" s="26" t="inlineStr">
        <is>
          <t>SOSENA AMSALU BOGALE</t>
        </is>
      </c>
    </row>
    <row r="2291">
      <c r="H2291" s="26" t="inlineStr">
        <is>
          <t>SOSHA TRADING PLC</t>
        </is>
      </c>
    </row>
    <row r="2292">
      <c r="H2292" s="26" t="inlineStr">
        <is>
          <t>SOSINA ASMAMAW DAMITIE</t>
        </is>
      </c>
    </row>
    <row r="2293">
      <c r="H2293" s="26" t="inlineStr">
        <is>
          <t>SOUK SUPERMARKET</t>
        </is>
      </c>
    </row>
    <row r="2294">
      <c r="H2294" s="26" t="inlineStr">
        <is>
          <t>SOUTH GATE APATEMENT HOTEL</t>
        </is>
      </c>
    </row>
    <row r="2295">
      <c r="H2295" s="26" t="inlineStr">
        <is>
          <t>SOUTH GATE HOTEL</t>
        </is>
      </c>
    </row>
    <row r="2296">
      <c r="H2296" s="26" t="inlineStr">
        <is>
          <t>SOYAS TRADING PLC</t>
        </is>
      </c>
    </row>
    <row r="2297">
      <c r="H2297" s="26" t="inlineStr">
        <is>
          <t>SOYO BIOTECH PLC</t>
        </is>
      </c>
    </row>
    <row r="2298">
      <c r="H2298" s="26" t="inlineStr">
        <is>
          <t>SOZO TRADING PLC</t>
        </is>
      </c>
    </row>
    <row r="2299">
      <c r="H2299" s="26" t="inlineStr">
        <is>
          <t>SPA SERVICE ENTERPRISE</t>
        </is>
      </c>
    </row>
    <row r="2300">
      <c r="H2300" s="26" t="inlineStr">
        <is>
          <t>SPARK COFFEE</t>
        </is>
      </c>
    </row>
    <row r="2301">
      <c r="H2301" s="26" t="inlineStr">
        <is>
          <t>SPARKEL LUXURY PLC</t>
        </is>
      </c>
    </row>
    <row r="2302">
      <c r="H2302" s="26" t="inlineStr">
        <is>
          <t>SPECTRUM LABORATORIES PLC</t>
        </is>
      </c>
    </row>
    <row r="2303">
      <c r="H2303" s="26" t="inlineStr">
        <is>
          <t>SPINE INSTITUTE AND CARE SHARE COMPANY</t>
        </is>
      </c>
    </row>
    <row r="2304">
      <c r="H2304" s="26" t="inlineStr">
        <is>
          <t>SPRING HUMAN MEDIC AND MED  EQU WS</t>
        </is>
      </c>
    </row>
    <row r="2305">
      <c r="H2305" s="26" t="inlineStr">
        <is>
          <t>ST GEBRIEL GENERAL HOSPITAL</t>
        </is>
      </c>
    </row>
    <row r="2306">
      <c r="H2306" s="26" t="inlineStr">
        <is>
          <t>ST GEORGE HOTEL</t>
        </is>
      </c>
    </row>
    <row r="2307">
      <c r="H2307" s="26" t="inlineStr">
        <is>
          <t>St MERRY KIDANE -BUTCHERY PLC</t>
        </is>
      </c>
    </row>
    <row r="2308">
      <c r="H2308" s="26" t="inlineStr">
        <is>
          <t>STANDARD ELECTRICAL TRADING</t>
        </is>
      </c>
    </row>
    <row r="2309">
      <c r="H2309" s="26" t="inlineStr">
        <is>
          <t>STAR BUSINESS GROUP PLC</t>
        </is>
      </c>
    </row>
    <row r="2310">
      <c r="H2310" s="26" t="inlineStr">
        <is>
          <t>STAR MEAT BUSINESS PLC</t>
        </is>
      </c>
    </row>
    <row r="2311">
      <c r="H2311" s="26" t="inlineStr">
        <is>
          <t>STAR SUPER MARKET(ALULA YIHDEGO)</t>
        </is>
      </c>
    </row>
    <row r="2312">
      <c r="H2312" s="26" t="inlineStr">
        <is>
          <t>STAY EASY HOTEL</t>
        </is>
      </c>
    </row>
    <row r="2313">
      <c r="H2313" s="26" t="inlineStr">
        <is>
          <t>STEELY R M I  PLC</t>
        </is>
      </c>
    </row>
    <row r="2314">
      <c r="H2314" s="26" t="inlineStr">
        <is>
          <t>STINA MAEDNA LAUNGI PLC</t>
        </is>
      </c>
    </row>
    <row r="2315">
      <c r="H2315" s="26" t="inlineStr">
        <is>
          <t>STOCKLANDET ONE MEMBER PLC</t>
        </is>
      </c>
    </row>
    <row r="2316">
      <c r="H2316" s="26" t="inlineStr">
        <is>
          <t>STORM TRADING PLC</t>
        </is>
      </c>
    </row>
    <row r="2317">
      <c r="H2317" s="26" t="inlineStr">
        <is>
          <t>STRATIX STUDIO MARKETING AND COMMUNICATION PLC</t>
        </is>
      </c>
    </row>
    <row r="2318">
      <c r="H2318" s="26" t="inlineStr">
        <is>
          <t>STS FARM TRADING PLC</t>
        </is>
      </c>
    </row>
    <row r="2319">
      <c r="H2319" s="26" t="inlineStr">
        <is>
          <t>SUCCESS WAY TRADING PLC</t>
        </is>
      </c>
    </row>
    <row r="2320">
      <c r="H2320" s="26" t="inlineStr">
        <is>
          <t>SUISS CLINIC</t>
        </is>
      </c>
    </row>
    <row r="2321">
      <c r="H2321" s="26" t="inlineStr">
        <is>
          <t>SUMI'S CAFE</t>
        </is>
      </c>
    </row>
    <row r="2322">
      <c r="H2322" s="26" t="inlineStr">
        <is>
          <t>SUN LAND INTERNATIONAL HOTEL</t>
        </is>
      </c>
    </row>
    <row r="2323">
      <c r="H2323" s="26" t="inlineStr">
        <is>
          <t>SUN SPOT HOTEL(SOLOMON ADUGNA)</t>
        </is>
      </c>
    </row>
    <row r="2324">
      <c r="H2324" s="26" t="inlineStr">
        <is>
          <t>SUN TRAVEL AGENCY GENERAL SERVICE PLC</t>
        </is>
      </c>
    </row>
    <row r="2325">
      <c r="H2325" s="26" t="inlineStr">
        <is>
          <t>SUN VIEW HOTEL</t>
        </is>
      </c>
    </row>
    <row r="2326">
      <c r="H2326" s="26" t="inlineStr">
        <is>
          <t>SUNLINE LAUNGE AND BAR PLC</t>
        </is>
      </c>
    </row>
    <row r="2327">
      <c r="H2327" s="26" t="inlineStr">
        <is>
          <t>SUNNY SIDE HOTEL</t>
        </is>
      </c>
    </row>
    <row r="2328">
      <c r="H2328" s="26" t="inlineStr">
        <is>
          <t>SUNSET BEAUTY TRAINING</t>
        </is>
      </c>
    </row>
    <row r="2329">
      <c r="H2329" s="26" t="inlineStr">
        <is>
          <t>SUPER DOUBLE T GENERAL TRADING PLC</t>
        </is>
      </c>
    </row>
    <row r="2330">
      <c r="H2330" s="26" t="inlineStr">
        <is>
          <t>SUPER SHINE INVESTEMENT PLC</t>
        </is>
      </c>
    </row>
    <row r="2331">
      <c r="H2331" s="26" t="inlineStr">
        <is>
          <t>SUPERB TRADING PLC</t>
        </is>
      </c>
    </row>
    <row r="2332">
      <c r="H2332" s="26" t="inlineStr">
        <is>
          <t>SUPERMAX OPTICAL MEDIA PLC</t>
        </is>
      </c>
    </row>
    <row r="2333">
      <c r="H2333" s="26" t="inlineStr">
        <is>
          <t>SUPEROVA AGROTECH PLC</t>
        </is>
      </c>
    </row>
    <row r="2334">
      <c r="H2334" s="26" t="inlineStr">
        <is>
          <t>SUPERSCOTT TRADING PLC</t>
        </is>
      </c>
    </row>
    <row r="2335">
      <c r="H2335" s="26" t="inlineStr">
        <is>
          <t>SUPREME ELECTRICAL EQUPMENT</t>
        </is>
      </c>
    </row>
    <row r="2336">
      <c r="H2336" s="26" t="inlineStr">
        <is>
          <t>SUWEYS MOTORS COMPANY</t>
        </is>
      </c>
    </row>
    <row r="2337">
      <c r="H2337" s="26" t="inlineStr">
        <is>
          <t>SUZO INDUSTRY PLC</t>
        </is>
      </c>
    </row>
    <row r="2338">
      <c r="H2338" s="26" t="inlineStr">
        <is>
          <t>SWEET WORLD PLC</t>
        </is>
      </c>
    </row>
    <row r="2339">
      <c r="H2339" s="26" t="inlineStr">
        <is>
          <t>SYNERGY PLC</t>
        </is>
      </c>
    </row>
    <row r="2340">
      <c r="H2340" s="26" t="inlineStr">
        <is>
          <t>SYNERGY PLUS LOGISTICS SERVICE PLC</t>
        </is>
      </c>
    </row>
    <row r="2341">
      <c r="H2341" s="26" t="inlineStr">
        <is>
          <t>T A T TRADING  ONE MEMBER PLC</t>
        </is>
      </c>
    </row>
    <row r="2342">
      <c r="H2342" s="26" t="inlineStr">
        <is>
          <t>T G WATER KIT TRADING PLC</t>
        </is>
      </c>
    </row>
    <row r="2343">
      <c r="H2343" s="26" t="inlineStr">
        <is>
          <t>T H A R N TRADING PLC</t>
        </is>
      </c>
    </row>
    <row r="2344">
      <c r="H2344" s="26" t="inlineStr">
        <is>
          <t>T J R MANUFACTURING PLC</t>
        </is>
      </c>
    </row>
    <row r="2345">
      <c r="H2345" s="26" t="inlineStr">
        <is>
          <t>T L S ENGINEERING PLC</t>
        </is>
      </c>
    </row>
    <row r="2346">
      <c r="H2346" s="26" t="inlineStr">
        <is>
          <t>TAD GENERAL TRADING</t>
        </is>
      </c>
    </row>
    <row r="2347">
      <c r="H2347" s="26" t="inlineStr">
        <is>
          <t>TADAEL ZEWDIE SERBARO</t>
        </is>
      </c>
    </row>
    <row r="2348">
      <c r="H2348" s="26" t="inlineStr">
        <is>
          <t>TADAL TRADING PLC</t>
        </is>
      </c>
    </row>
    <row r="2349">
      <c r="H2349" s="26" t="inlineStr">
        <is>
          <t>TADDESE CHECKOL COMMERCIAL COMPLEX</t>
        </is>
      </c>
    </row>
    <row r="2350">
      <c r="H2350" s="26" t="inlineStr">
        <is>
          <t>TADDESE MESELE DESTA</t>
        </is>
      </c>
    </row>
    <row r="2351">
      <c r="H2351" s="26" t="inlineStr">
        <is>
          <t>TADELE AND HIS SON PLC</t>
        </is>
      </c>
    </row>
    <row r="2352">
      <c r="H2352" s="26" t="inlineStr">
        <is>
          <t>TADELECH ASSEFA LEMA</t>
        </is>
      </c>
    </row>
    <row r="2353">
      <c r="H2353" s="26" t="inlineStr">
        <is>
          <t>TADESE LEYEWE ASERESE</t>
        </is>
      </c>
    </row>
    <row r="2354">
      <c r="H2354" s="26" t="inlineStr">
        <is>
          <t>TADESSE ATLAW BANTEYEWALU</t>
        </is>
      </c>
    </row>
    <row r="2355">
      <c r="H2355" s="26" t="inlineStr">
        <is>
          <t>TADESSE EDEMA</t>
        </is>
      </c>
    </row>
    <row r="2356">
      <c r="H2356" s="26" t="inlineStr">
        <is>
          <t>TADESSE ENDESHAW KUNCHE(VICTORIA GUEST HOUSE)</t>
        </is>
      </c>
    </row>
    <row r="2357">
      <c r="H2357" s="26" t="inlineStr">
        <is>
          <t>TADESSE GIDEY</t>
        </is>
      </c>
    </row>
    <row r="2358">
      <c r="H2358" s="26" t="inlineStr">
        <is>
          <t>TADIYOS KASSAYE ESHETE</t>
        </is>
      </c>
    </row>
    <row r="2359">
      <c r="H2359" s="26" t="inlineStr">
        <is>
          <t>TAFACH MALEDA JENBER</t>
        </is>
      </c>
    </row>
    <row r="2360">
      <c r="H2360" s="26" t="inlineStr">
        <is>
          <t>TAFESE WORKU MENGISTU</t>
        </is>
      </c>
    </row>
    <row r="2361">
      <c r="H2361" s="26" t="inlineStr">
        <is>
          <t>TAFESSE ABEBE AND HIS SONS PLC</t>
        </is>
      </c>
    </row>
    <row r="2362">
      <c r="H2362" s="26" t="inlineStr">
        <is>
          <t>TAKELE SISAY TAGELE</t>
        </is>
      </c>
    </row>
    <row r="2363">
      <c r="H2363" s="26" t="inlineStr">
        <is>
          <t>TAMERAT DEMESE</t>
        </is>
      </c>
    </row>
    <row r="2364">
      <c r="H2364" s="26" t="inlineStr">
        <is>
          <t>TAMIR WUBALEM AYIFER</t>
        </is>
      </c>
    </row>
    <row r="2365">
      <c r="H2365" s="26" t="inlineStr">
        <is>
          <t>TAMIRAT ADUGNA MASHE</t>
        </is>
      </c>
    </row>
    <row r="2366">
      <c r="H2366" s="26" t="inlineStr">
        <is>
          <t>TAMIRAT GIRMA (HOTEL DINAPOLI)</t>
        </is>
      </c>
    </row>
    <row r="2367">
      <c r="H2367" s="26" t="inlineStr">
        <is>
          <t>TAMRAT BALAY DEREJE</t>
        </is>
      </c>
    </row>
    <row r="2368">
      <c r="H2368" s="26" t="inlineStr">
        <is>
          <t>TAMZION TRADING PLC</t>
        </is>
      </c>
    </row>
    <row r="2369">
      <c r="H2369" s="26" t="inlineStr">
        <is>
          <t>TANA ENGINEERING</t>
        </is>
      </c>
    </row>
    <row r="2370">
      <c r="H2370" s="26" t="inlineStr">
        <is>
          <t>TAO CHINESE RASTAURANT ONE MEMBER PLC</t>
        </is>
      </c>
    </row>
    <row r="2371">
      <c r="H2371" s="26" t="inlineStr">
        <is>
          <t>TARIKE REGASA LETA</t>
        </is>
      </c>
    </row>
    <row r="2372">
      <c r="H2372" s="26" t="inlineStr">
        <is>
          <t>TARIKU TESHALE ABAGIRSHA</t>
        </is>
      </c>
    </row>
    <row r="2373">
      <c r="H2373" s="26" t="inlineStr">
        <is>
          <t>TAROS SPARE PARTS</t>
        </is>
      </c>
    </row>
    <row r="2374">
      <c r="H2374" s="26" t="inlineStr">
        <is>
          <t>TASTY BAKERY AND CAFE PLC</t>
        </is>
      </c>
    </row>
    <row r="2375">
      <c r="H2375" s="26" t="inlineStr">
        <is>
          <t>TASTY FOODS PLC</t>
        </is>
      </c>
    </row>
    <row r="2376">
      <c r="H2376" s="26" t="inlineStr">
        <is>
          <t>TAYL TRADING PLC</t>
        </is>
      </c>
    </row>
    <row r="2377">
      <c r="H2377" s="26" t="inlineStr">
        <is>
          <t>TAYS PLC</t>
        </is>
      </c>
    </row>
    <row r="2378">
      <c r="H2378" s="26" t="inlineStr">
        <is>
          <t>TAZA PLC</t>
        </is>
      </c>
    </row>
    <row r="2379">
      <c r="H2379" s="26" t="inlineStr">
        <is>
          <t>TAZMA MEDICAL AND SURGICAL SPECIALIZED CENTER PLC</t>
        </is>
      </c>
    </row>
    <row r="2380">
      <c r="H2380" s="26" t="inlineStr">
        <is>
          <t>TBZ TRADING PLC</t>
        </is>
      </c>
    </row>
    <row r="2381">
      <c r="H2381" s="26" t="inlineStr">
        <is>
          <t>TEABEBE TREADING PLC</t>
        </is>
      </c>
    </row>
    <row r="2382">
      <c r="H2382" s="26" t="inlineStr">
        <is>
          <t>TECHNO MAK PLC LAKELAND IN HOTEL</t>
        </is>
      </c>
    </row>
    <row r="2383">
      <c r="H2383" s="26" t="inlineStr">
        <is>
          <t>TECHNO TEX TRADING PLC</t>
        </is>
      </c>
    </row>
    <row r="2384">
      <c r="H2384" s="26" t="inlineStr">
        <is>
          <t>TECHNOSTYLE PLC</t>
        </is>
      </c>
    </row>
    <row r="2385">
      <c r="H2385" s="26" t="inlineStr">
        <is>
          <t>TEDDY DRUGS AND MEDICAL SUPPLIES IMPORTER AND DIST</t>
        </is>
      </c>
    </row>
    <row r="2386">
      <c r="H2386" s="26" t="inlineStr">
        <is>
          <t>TEDDY DRUGS AND MEDICAL SUPPLIES WHOLESALES</t>
        </is>
      </c>
    </row>
    <row r="2387">
      <c r="H2387" s="26" t="inlineStr">
        <is>
          <t>TEFERA GONFA REGESA</t>
        </is>
      </c>
    </row>
    <row r="2388">
      <c r="H2388" s="26" t="inlineStr">
        <is>
          <t>TEFERA HAYLU DEJENE</t>
        </is>
      </c>
    </row>
    <row r="2389">
      <c r="H2389" s="26" t="inlineStr">
        <is>
          <t>TEFERA KASA</t>
        </is>
      </c>
    </row>
    <row r="2390">
      <c r="H2390" s="26" t="inlineStr">
        <is>
          <t>TEFERA KASA HAGERMARYAM</t>
        </is>
      </c>
    </row>
    <row r="2391">
      <c r="H2391" s="26" t="inlineStr">
        <is>
          <t>TEFERI KENO</t>
        </is>
      </c>
    </row>
    <row r="2392">
      <c r="H2392" s="26" t="inlineStr">
        <is>
          <t>TEFEZER MARKET CENTER SHARE COMPANY</t>
        </is>
      </c>
    </row>
    <row r="2393">
      <c r="H2393" s="26" t="inlineStr">
        <is>
          <t>TEGA GENERAL TRAGING PLC</t>
        </is>
      </c>
    </row>
    <row r="2394">
      <c r="H2394" s="26" t="inlineStr">
        <is>
          <t>TEGEN GUEST ACCOMODATION HETEL PLC</t>
        </is>
      </c>
    </row>
    <row r="2395">
      <c r="H2395" s="26" t="inlineStr">
        <is>
          <t>TEJI INTERNATIONAL PLC</t>
        </is>
      </c>
    </row>
    <row r="2396">
      <c r="H2396" s="26" t="inlineStr">
        <is>
          <t>TEKA NIKOLA DULA</t>
        </is>
      </c>
    </row>
    <row r="2397">
      <c r="H2397" s="26" t="inlineStr">
        <is>
          <t>TEKLE JAMBARU</t>
        </is>
      </c>
    </row>
    <row r="2398">
      <c r="H2398" s="26" t="inlineStr">
        <is>
          <t>TEKLEMARIAM WOCHE</t>
        </is>
      </c>
    </row>
    <row r="2399">
      <c r="H2399" s="26" t="inlineStr">
        <is>
          <t>TEMENE NIGUSE W/GEBRES</t>
        </is>
      </c>
    </row>
    <row r="2400">
      <c r="H2400" s="26" t="inlineStr">
        <is>
          <t>TEMESGEN AREGAWI WELDEGIORGIS</t>
        </is>
      </c>
    </row>
    <row r="2401">
      <c r="H2401" s="26" t="inlineStr">
        <is>
          <t>TEMESGEN TADESSE ABO</t>
        </is>
      </c>
    </row>
    <row r="2402">
      <c r="H2402" s="26" t="inlineStr">
        <is>
          <t>TEMESGEN WOLDAY HAILU</t>
        </is>
      </c>
    </row>
    <row r="2403">
      <c r="H2403" s="26" t="inlineStr">
        <is>
          <t>TEMIMA UMER MUHIDIN</t>
        </is>
      </c>
    </row>
    <row r="2404">
      <c r="H2404" s="26" t="inlineStr">
        <is>
          <t>TEMNI TREADING PLC</t>
        </is>
      </c>
    </row>
    <row r="2405">
      <c r="H2405" s="26" t="inlineStr">
        <is>
          <t>TEN INDUSTRIAL PLC</t>
        </is>
      </c>
    </row>
    <row r="2406">
      <c r="H2406" s="26" t="inlineStr">
        <is>
          <t>TENKETEM GENERAL TRADING PLC</t>
        </is>
      </c>
    </row>
    <row r="2407">
      <c r="H2407" s="26" t="inlineStr">
        <is>
          <t>TENWELL ETHIOPIA TRANSIT AND LOGISTICS PLC</t>
        </is>
      </c>
    </row>
    <row r="2408">
      <c r="H2408" s="26" t="inlineStr">
        <is>
          <t>TERA INDUSTRIAL ENGINEERING BUSINESS PLC</t>
        </is>
      </c>
    </row>
    <row r="2409">
      <c r="H2409" s="26" t="inlineStr">
        <is>
          <t>TERCICE TRADING PLC</t>
        </is>
      </c>
    </row>
    <row r="2410">
      <c r="H2410" s="26" t="inlineStr">
        <is>
          <t>TERECHA DERECHA</t>
        </is>
      </c>
    </row>
    <row r="2411">
      <c r="H2411" s="26" t="inlineStr">
        <is>
          <t>TESEMA BEKELE</t>
        </is>
      </c>
    </row>
    <row r="2412">
      <c r="H2412" s="26" t="inlineStr">
        <is>
          <t>TESEMA HEAVY DUTY TRUCK AND MACHINERY SPARE PARTS</t>
        </is>
      </c>
    </row>
    <row r="2413">
      <c r="H2413" s="26" t="inlineStr">
        <is>
          <t>TESFA GSILASSIE ZEBEHERE BULGA</t>
        </is>
      </c>
    </row>
    <row r="2414">
      <c r="H2414" s="26" t="inlineStr">
        <is>
          <t>TESFAHUN AREGAY GEBREMICHAEL</t>
        </is>
      </c>
    </row>
    <row r="2415">
      <c r="H2415" s="26" t="inlineStr">
        <is>
          <t>TESFAMICHEAL ASTATKIE GEBREWOLD</t>
        </is>
      </c>
    </row>
    <row r="2416">
      <c r="H2416" s="26" t="inlineStr">
        <is>
          <t>TESFAYE BELEMA</t>
        </is>
      </c>
    </row>
    <row r="2417">
      <c r="H2417" s="26" t="inlineStr">
        <is>
          <t>TESFAYE BELETE GASHAW</t>
        </is>
      </c>
    </row>
    <row r="2418">
      <c r="H2418" s="26" t="inlineStr">
        <is>
          <t>TESFAYE DEBALKE</t>
        </is>
      </c>
    </row>
    <row r="2419">
      <c r="H2419" s="26" t="inlineStr">
        <is>
          <t>TESFAYE GEBREHIWOT TEKLU</t>
        </is>
      </c>
    </row>
    <row r="2420">
      <c r="H2420" s="26" t="inlineStr">
        <is>
          <t>TESFAYE SHIFERAW TESEMA</t>
        </is>
      </c>
    </row>
    <row r="2421">
      <c r="H2421" s="26" t="inlineStr">
        <is>
          <t>TESFAYE YILMA WOLDEMESKEL</t>
        </is>
      </c>
    </row>
    <row r="2422">
      <c r="H2422" s="26" t="inlineStr">
        <is>
          <t>TESKARO BIHAME TRADING PLC</t>
        </is>
      </c>
    </row>
    <row r="2423">
      <c r="H2423" s="26" t="inlineStr">
        <is>
          <t>TESLA ANUAL VECHICLE INSPECTION PLC</t>
        </is>
      </c>
    </row>
    <row r="2424">
      <c r="H2424" s="26" t="inlineStr">
        <is>
          <t>TESSEMA ABSHIRO BIZA AMADU HOTEL</t>
        </is>
      </c>
    </row>
    <row r="2425">
      <c r="H2425" s="26" t="inlineStr">
        <is>
          <t>TEST</t>
        </is>
      </c>
    </row>
    <row r="2426">
      <c r="H2426" s="26" t="inlineStr">
        <is>
          <t>TEST 2</t>
        </is>
      </c>
    </row>
    <row r="2427">
      <c r="H2427" s="26" t="inlineStr">
        <is>
          <t>TEST FOOD 1</t>
        </is>
      </c>
    </row>
    <row r="2428">
      <c r="H2428" s="26" t="inlineStr">
        <is>
          <t>TEST FOOD 2</t>
        </is>
      </c>
    </row>
    <row r="2429">
      <c r="H2429" s="26" t="inlineStr">
        <is>
          <t>TEST OF 51</t>
        </is>
      </c>
    </row>
    <row r="2430">
      <c r="H2430" s="26" t="inlineStr">
        <is>
          <t>TEST TESTDB</t>
        </is>
      </c>
    </row>
    <row r="2431">
      <c r="H2431" s="26" t="inlineStr">
        <is>
          <t>TESTI TRADING PLC</t>
        </is>
      </c>
    </row>
    <row r="2432">
      <c r="H2432" s="26" t="inlineStr">
        <is>
          <t>TEWODROS ABATHUN</t>
        </is>
      </c>
    </row>
    <row r="2433">
      <c r="H2433" s="26" t="inlineStr">
        <is>
          <t>TEWODROS ASEFA ESTIFANOS</t>
        </is>
      </c>
    </row>
    <row r="2434">
      <c r="H2434" s="26" t="inlineStr">
        <is>
          <t>TEWODROS BELAY INTERNATIONAL HOTEL</t>
        </is>
      </c>
    </row>
    <row r="2435">
      <c r="H2435" s="26" t="inlineStr">
        <is>
          <t>TEWODROS CHERNET WOLDEMARIAM</t>
        </is>
      </c>
    </row>
    <row r="2436">
      <c r="H2436" s="26" t="inlineStr">
        <is>
          <t>THE ADDRESS TRADING PLC</t>
        </is>
      </c>
    </row>
    <row r="2437">
      <c r="H2437" s="26" t="inlineStr">
        <is>
          <t>THE CAPITAL GRILL RESTURANT PLC</t>
        </is>
      </c>
    </row>
    <row r="2438">
      <c r="H2438" s="26" t="inlineStr">
        <is>
          <t>THE CAPTAIN LIQUOR STORE PLC</t>
        </is>
      </c>
    </row>
    <row r="2439">
      <c r="H2439" s="26" t="inlineStr">
        <is>
          <t>THE CHILL SPORT BAR AND RESTAURANT ONE MEMBER PLC</t>
        </is>
      </c>
    </row>
    <row r="2440">
      <c r="H2440" s="26" t="inlineStr">
        <is>
          <t>THE CORPORATE COFFEE HOUSE ONE MEMBER PLC</t>
        </is>
      </c>
    </row>
    <row r="2441">
      <c r="H2441" s="26" t="inlineStr">
        <is>
          <t>THE DESSERT BAR PLC</t>
        </is>
      </c>
    </row>
    <row r="2442">
      <c r="H2442" s="26" t="inlineStr">
        <is>
          <t>THE EAST BG</t>
        </is>
      </c>
    </row>
    <row r="2443">
      <c r="H2443" s="26" t="inlineStr">
        <is>
          <t>THE GOLDEN PALM PLC</t>
        </is>
      </c>
    </row>
    <row r="2444">
      <c r="H2444" s="26" t="inlineStr">
        <is>
          <t>THE GOLDEN TRADING PLC</t>
        </is>
      </c>
    </row>
    <row r="2445">
      <c r="H2445" s="26" t="inlineStr">
        <is>
          <t>THE KLINKERS TRADING P L C</t>
        </is>
      </c>
    </row>
    <row r="2446">
      <c r="H2446" s="26" t="inlineStr">
        <is>
          <t>THE LEGEND COFFEE TRADING PLC</t>
        </is>
      </c>
    </row>
    <row r="2447">
      <c r="H2447" s="26" t="inlineStr">
        <is>
          <t>THE LIONS DEN HOTEL</t>
        </is>
      </c>
    </row>
    <row r="2448">
      <c r="H2448" s="26" t="inlineStr">
        <is>
          <t>THE RED DRAGON RESTAURANT PLC</t>
        </is>
      </c>
    </row>
    <row r="2449">
      <c r="H2449" s="26" t="inlineStr">
        <is>
          <t>THE RESIDENCE HOTEL</t>
        </is>
      </c>
    </row>
    <row r="2450">
      <c r="H2450" s="26" t="inlineStr">
        <is>
          <t>THE ROW RESIDENTIAL HOTEL</t>
        </is>
      </c>
    </row>
    <row r="2451">
      <c r="H2451" s="26" t="inlineStr">
        <is>
          <t>THE SERENADE VENTURE PLC LIME TREE CAFE AND RESTAURANT</t>
        </is>
      </c>
    </row>
    <row r="2452">
      <c r="H2452" s="26" t="inlineStr">
        <is>
          <t>THE SUN TRADING PRIVATE LIMITED COMPANY</t>
        </is>
      </c>
    </row>
    <row r="2453">
      <c r="H2453" s="26" t="inlineStr">
        <is>
          <t>THE WINE TRIBES TRADING PLC</t>
        </is>
      </c>
    </row>
    <row r="2454">
      <c r="H2454" s="26" t="inlineStr">
        <is>
          <t>THIRDPARTYECOMMERCE</t>
        </is>
      </c>
    </row>
    <row r="2455">
      <c r="H2455" s="26" t="inlineStr">
        <is>
          <t>THOMAS BETASSO TUREA</t>
        </is>
      </c>
    </row>
    <row r="2456">
      <c r="H2456" s="26" t="inlineStr">
        <is>
          <t>THREE H BUSINESS GRUOP PLC</t>
        </is>
      </c>
    </row>
    <row r="2457">
      <c r="H2457" s="26" t="inlineStr">
        <is>
          <t>THREE SAM PLC</t>
        </is>
      </c>
    </row>
    <row r="2458">
      <c r="H2458" s="26" t="inlineStr">
        <is>
          <t>THREEMAGE PATHOLOGY MEDICAL SERVICE PLC</t>
        </is>
      </c>
    </row>
    <row r="2459">
      <c r="H2459" s="26" t="inlineStr">
        <is>
          <t>TIAN GUOPAN</t>
        </is>
      </c>
    </row>
    <row r="2460">
      <c r="H2460" s="26" t="inlineStr">
        <is>
          <t>TIBEBE WONDIE MEKONNEN</t>
        </is>
      </c>
    </row>
    <row r="2461">
      <c r="H2461" s="26" t="inlineStr">
        <is>
          <t>TIBEBU AKLILE DELELEGN KM INTERNATIONAL HOTEL</t>
        </is>
      </c>
    </row>
    <row r="2462">
      <c r="H2462" s="26" t="inlineStr">
        <is>
          <t>TIGA HOTEL</t>
        </is>
      </c>
    </row>
    <row r="2463">
      <c r="H2463" s="26" t="inlineStr">
        <is>
          <t>TIGIST ABEBAYEHU YITNA</t>
        </is>
      </c>
    </row>
    <row r="2464">
      <c r="H2464" s="26" t="inlineStr">
        <is>
          <t>TIGIST ABERA</t>
        </is>
      </c>
    </row>
    <row r="2465">
      <c r="H2465" s="26" t="inlineStr">
        <is>
          <t>TIGIST BAYISA</t>
        </is>
      </c>
    </row>
    <row r="2466">
      <c r="H2466" s="26" t="inlineStr">
        <is>
          <t>TIGIST GIDEY TYRE AND BATTERIES</t>
        </is>
      </c>
    </row>
    <row r="2467">
      <c r="H2467" s="26" t="inlineStr">
        <is>
          <t>TIGLU TSEGAYE</t>
        </is>
      </c>
    </row>
    <row r="2468">
      <c r="H2468" s="26" t="inlineStr">
        <is>
          <t>TIHITINA GETACHEW FELEKE</t>
        </is>
      </c>
    </row>
    <row r="2469">
      <c r="H2469" s="26" t="inlineStr">
        <is>
          <t>TIHITNA WONDIMU SIMEGN</t>
        </is>
      </c>
    </row>
    <row r="2470">
      <c r="H2470" s="26" t="inlineStr">
        <is>
          <t>TIKUR ANBESA SPECIALAIZED HOSPITAL</t>
        </is>
      </c>
    </row>
    <row r="2471">
      <c r="H2471" s="26" t="inlineStr">
        <is>
          <t>TILAHUN MAZENGIA</t>
        </is>
      </c>
    </row>
    <row r="2472">
      <c r="H2472" s="26" t="inlineStr">
        <is>
          <t>TILAHUN SHEWA GEBEREMIKAEL</t>
        </is>
      </c>
    </row>
    <row r="2473">
      <c r="H2473" s="26" t="inlineStr">
        <is>
          <t>TILAHUN YISRU MENJI</t>
        </is>
      </c>
    </row>
    <row r="2474">
      <c r="H2474" s="26" t="inlineStr">
        <is>
          <t>TILAYENESH GMEDIHEN GTSADIK</t>
        </is>
      </c>
    </row>
    <row r="2475">
      <c r="H2475" s="26" t="inlineStr">
        <is>
          <t>TILIKSEW GEDAMU AYELE</t>
        </is>
      </c>
    </row>
    <row r="2476">
      <c r="H2476" s="26" t="inlineStr">
        <is>
          <t>TINSAE GEBEYAW TIRUNEH</t>
        </is>
      </c>
    </row>
    <row r="2477">
      <c r="H2477" s="26" t="inlineStr">
        <is>
          <t>TIRAR INTERNATIONAL HOTEL</t>
        </is>
      </c>
    </row>
    <row r="2478">
      <c r="H2478" s="26" t="inlineStr">
        <is>
          <t>TIRU BUSINESS GROUP PLC</t>
        </is>
      </c>
    </row>
    <row r="2479">
      <c r="H2479" s="26" t="inlineStr">
        <is>
          <t>TIZEZE HOTEL</t>
        </is>
      </c>
    </row>
    <row r="2480">
      <c r="H2480" s="26" t="inlineStr">
        <is>
          <t>TIZITA AMARE WENDIMAGEGN</t>
        </is>
      </c>
    </row>
    <row r="2481">
      <c r="H2481" s="26" t="inlineStr">
        <is>
          <t>TKS TRADING PLC</t>
        </is>
      </c>
    </row>
    <row r="2482">
      <c r="H2482" s="26" t="inlineStr">
        <is>
          <t>TMMAKS TRADING PLC</t>
        </is>
      </c>
    </row>
    <row r="2483">
      <c r="H2483" s="26" t="inlineStr">
        <is>
          <t>TN GREEN TRADING PLC</t>
        </is>
      </c>
    </row>
    <row r="2484">
      <c r="H2484" s="26" t="inlineStr">
        <is>
          <t>TOBIAS SOLOMON ABRAHAM</t>
        </is>
      </c>
    </row>
    <row r="2485">
      <c r="H2485" s="26" t="inlineStr">
        <is>
          <t>TOBIYA MAMUYE GUCHALE</t>
        </is>
      </c>
    </row>
    <row r="2486">
      <c r="H2486" s="26" t="inlineStr">
        <is>
          <t>TOCCI FISH ONE MEMBER PLC</t>
        </is>
      </c>
    </row>
    <row r="2487">
      <c r="H2487" s="26" t="inlineStr">
        <is>
          <t>TODAY COMPUTER TECHNOLOGY PLC</t>
        </is>
      </c>
    </row>
    <row r="2488">
      <c r="H2488" s="26" t="inlineStr">
        <is>
          <t>TOFIK MAHAMMED OUMER</t>
        </is>
      </c>
    </row>
    <row r="2489">
      <c r="H2489" s="26" t="inlineStr">
        <is>
          <t>TOLUMA TRADING  PLC</t>
        </is>
      </c>
    </row>
    <row r="2490">
      <c r="H2490" s="26" t="inlineStr">
        <is>
          <t>TOMAS TESFAGIORGIS YEHDEGO</t>
        </is>
      </c>
    </row>
    <row r="2491">
      <c r="H2491" s="26" t="inlineStr">
        <is>
          <t>TOMAS WOLDEMARIAM TEKUGEN</t>
        </is>
      </c>
    </row>
    <row r="2492">
      <c r="H2492" s="26" t="inlineStr">
        <is>
          <t>TOMMY INTERNATIONAL HOTEL</t>
        </is>
      </c>
    </row>
    <row r="2493">
      <c r="H2493" s="26" t="inlineStr">
        <is>
          <t>TOO SHARP ENGINEERING PLC</t>
        </is>
      </c>
    </row>
    <row r="2494">
      <c r="H2494" s="26" t="inlineStr">
        <is>
          <t>TOP BEVERAGES INDUSTRIES AND TRADING</t>
        </is>
      </c>
    </row>
    <row r="2495">
      <c r="H2495" s="26" t="inlineStr">
        <is>
          <t>TOP PLC</t>
        </is>
      </c>
    </row>
    <row r="2496">
      <c r="H2496" s="26" t="inlineStr">
        <is>
          <t>TOP TABLE TRADING PLC</t>
        </is>
      </c>
    </row>
    <row r="2497">
      <c r="H2497" s="26" t="inlineStr">
        <is>
          <t>TOPPAN SECURITY ETHIOPIA SHARE COMPANY</t>
        </is>
      </c>
    </row>
    <row r="2498">
      <c r="H2498" s="26" t="inlineStr">
        <is>
          <t>TORONTO ADDIS GUEST HOUSE</t>
        </is>
      </c>
    </row>
    <row r="2499">
      <c r="H2499" s="26" t="inlineStr">
        <is>
          <t>TOTAL TIM VALUE ADDED SERVICE PLC</t>
        </is>
      </c>
    </row>
    <row r="2500">
      <c r="H2500" s="26" t="inlineStr">
        <is>
          <t>TOTOT TRADITIONAL RESTAURANT</t>
        </is>
      </c>
    </row>
    <row r="2501">
      <c r="H2501" s="26" t="inlineStr">
        <is>
          <t>TRACON TRADING PLC</t>
        </is>
      </c>
    </row>
    <row r="2502">
      <c r="H2502" s="26" t="inlineStr">
        <is>
          <t>TRAFORD INTERNATIONAL TRADING PLC</t>
        </is>
      </c>
    </row>
    <row r="2503">
      <c r="H2503" s="26" t="inlineStr">
        <is>
          <t>TRIANGLE HOTEL PLC</t>
        </is>
      </c>
    </row>
    <row r="2504">
      <c r="H2504" s="26" t="inlineStr">
        <is>
          <t>TRIDENT ENGINEERING PLC</t>
        </is>
      </c>
    </row>
    <row r="2505">
      <c r="H2505" s="26" t="inlineStr">
        <is>
          <t>TRINITY HOTEL</t>
        </is>
      </c>
    </row>
    <row r="2506">
      <c r="H2506" s="26" t="inlineStr">
        <is>
          <t>TRIVISTA TRADING PLC</t>
        </is>
      </c>
    </row>
    <row r="2507">
      <c r="H2507" s="26" t="inlineStr">
        <is>
          <t>TROPICAL PHARMA</t>
        </is>
      </c>
    </row>
    <row r="2508">
      <c r="H2508" s="26" t="inlineStr">
        <is>
          <t>TS GENERAL TRADING PLC</t>
        </is>
      </c>
    </row>
    <row r="2509">
      <c r="H2509" s="26" t="inlineStr">
        <is>
          <t>TSABRASIVE AND TOOLS MANUFACTURING PLC</t>
        </is>
      </c>
    </row>
    <row r="2510">
      <c r="H2510" s="26" t="inlineStr">
        <is>
          <t>TSEDEKE ARFICHO WINCHISA</t>
        </is>
      </c>
    </row>
    <row r="2511">
      <c r="H2511" s="26" t="inlineStr">
        <is>
          <t>TSEDEKE YIGEZU</t>
        </is>
      </c>
    </row>
    <row r="2512">
      <c r="H2512" s="26" t="inlineStr">
        <is>
          <t>TSEGA TADELE ADISS AMBA HOTEL</t>
        </is>
      </c>
    </row>
    <row r="2513">
      <c r="H2513" s="26" t="inlineStr">
        <is>
          <t>TSEGAYE TESFAYE ABREHA</t>
        </is>
      </c>
    </row>
    <row r="2514">
      <c r="H2514" s="26" t="inlineStr">
        <is>
          <t>TSEHAY BEYENE GEBREMARIAM</t>
        </is>
      </c>
    </row>
    <row r="2515">
      <c r="H2515" s="26" t="inlineStr">
        <is>
          <t>TSEHAY TADELE T/HAIMANOT</t>
        </is>
      </c>
    </row>
    <row r="2516">
      <c r="H2516" s="26" t="inlineStr">
        <is>
          <t>TSEHAY TUJI TASSEW</t>
        </is>
      </c>
    </row>
    <row r="2517">
      <c r="H2517" s="26" t="inlineStr">
        <is>
          <t>TSEHAYNESH WORKU BEKELE</t>
        </is>
      </c>
    </row>
    <row r="2518">
      <c r="H2518" s="26" t="inlineStr">
        <is>
          <t>TSIGAB GEBREMEDIHN GEBREGIZIABHER</t>
        </is>
      </c>
    </row>
    <row r="2519">
      <c r="H2519" s="26" t="inlineStr">
        <is>
          <t>TSIGE NIGUSSE</t>
        </is>
      </c>
    </row>
    <row r="2520">
      <c r="H2520" s="26" t="inlineStr">
        <is>
          <t>TSIGE TEFERI WENDIMAGENEGNEHU</t>
        </is>
      </c>
    </row>
    <row r="2521">
      <c r="H2521" s="26" t="inlineStr">
        <is>
          <t>TSIGESHET HOTEL PLC</t>
        </is>
      </c>
    </row>
    <row r="2522">
      <c r="H2522" s="26" t="inlineStr">
        <is>
          <t>TSION AGUSHA BEDANE</t>
        </is>
      </c>
    </row>
    <row r="2523">
      <c r="H2523" s="26" t="inlineStr">
        <is>
          <t>TSION HOTEL PLC</t>
        </is>
      </c>
    </row>
    <row r="2524">
      <c r="H2524" s="26" t="inlineStr">
        <is>
          <t>TSION KEBEDE ABDI</t>
        </is>
      </c>
    </row>
    <row r="2525">
      <c r="H2525" s="26" t="inlineStr">
        <is>
          <t>TSRUY SOAP AND DETERGENT FACTORY</t>
        </is>
      </c>
    </row>
    <row r="2526">
      <c r="H2526" s="26" t="inlineStr">
        <is>
          <t>TULEMA CONSTRUCTION MATERIAL SUPPLY PLC</t>
        </is>
      </c>
    </row>
    <row r="2527">
      <c r="H2527" s="26" t="inlineStr">
        <is>
          <t>TULU HOTEL</t>
        </is>
      </c>
    </row>
    <row r="2528">
      <c r="H2528" s="26" t="inlineStr">
        <is>
          <t>TUMBE GUEST HOUSE(CS MT TRADING PLC)</t>
        </is>
      </c>
    </row>
    <row r="2529">
      <c r="H2529" s="26" t="inlineStr">
        <is>
          <t>TW TRADING PLC</t>
        </is>
      </c>
    </row>
    <row r="2530">
      <c r="H2530" s="26" t="inlineStr">
        <is>
          <t>TWO A APPAREL TRADING PLC</t>
        </is>
      </c>
    </row>
    <row r="2531">
      <c r="H2531" s="26" t="inlineStr">
        <is>
          <t>TWO A GENERAL CONTRACTOR</t>
        </is>
      </c>
    </row>
    <row r="2532">
      <c r="H2532" s="26" t="inlineStr">
        <is>
          <t>TWO BROTHERS FOOD COMPLEX PLC</t>
        </is>
      </c>
    </row>
    <row r="2533">
      <c r="H2533" s="26" t="inlineStr">
        <is>
          <t>TZNA GENERAL HOSPITAL PLC</t>
        </is>
      </c>
    </row>
    <row r="2534">
      <c r="H2534" s="26" t="inlineStr">
        <is>
          <t>UBUNTU COMPUTER SOLUTION</t>
        </is>
      </c>
    </row>
    <row r="2535">
      <c r="H2535" s="26" t="inlineStr">
        <is>
          <t>UF TRADING PLC</t>
        </is>
      </c>
    </row>
    <row r="2536">
      <c r="H2536" s="26" t="inlineStr">
        <is>
          <t>UGBAAD STAR DESIGNATED HOTELS</t>
        </is>
      </c>
    </row>
    <row r="2537">
      <c r="H2537" s="26" t="inlineStr">
        <is>
          <t>UMMA HOTEL</t>
        </is>
      </c>
    </row>
    <row r="2538">
      <c r="H2538" s="26" t="inlineStr">
        <is>
          <t>UNI-TECH ENGINEERING PLC</t>
        </is>
      </c>
    </row>
    <row r="2539">
      <c r="H2539" s="26" t="inlineStr">
        <is>
          <t>UNIDAG TRADING PLC</t>
        </is>
      </c>
    </row>
    <row r="2540">
      <c r="H2540" s="26" t="inlineStr">
        <is>
          <t>UNIMAS ENGINEERING PLC</t>
        </is>
      </c>
    </row>
    <row r="2541">
      <c r="H2541" s="26" t="inlineStr">
        <is>
          <t>UNION BERRY ACADEMY PLC</t>
        </is>
      </c>
    </row>
    <row r="2542">
      <c r="H2542" s="26" t="inlineStr">
        <is>
          <t>UNION HOTEL APARTMENT PLC</t>
        </is>
      </c>
    </row>
    <row r="2543">
      <c r="H2543" s="26" t="inlineStr">
        <is>
          <t>UNITECH E POWER AND TRADING PLC</t>
        </is>
      </c>
    </row>
    <row r="2544">
      <c r="H2544" s="26" t="inlineStr">
        <is>
          <t>UNITED ALPHA COMMERCIAL  PLC</t>
        </is>
      </c>
    </row>
    <row r="2545">
      <c r="H2545" s="26" t="inlineStr">
        <is>
          <t>UNITED PRINTERS PLC</t>
        </is>
      </c>
    </row>
    <row r="2546">
      <c r="H2546" s="26" t="inlineStr">
        <is>
          <t>UNITY AUTO MERCANTILE PLC</t>
        </is>
      </c>
    </row>
    <row r="2547">
      <c r="H2547" s="26" t="inlineStr">
        <is>
          <t>UNITY UNIVERSITY PLC</t>
        </is>
      </c>
    </row>
    <row r="2548">
      <c r="H2548" s="26" t="inlineStr">
        <is>
          <t>UNIVERSAL FOOD COMPLEX PLC</t>
        </is>
      </c>
    </row>
    <row r="2549">
      <c r="H2549" s="26" t="inlineStr">
        <is>
          <t>UNIVERSAL GAS PLANT (MOGES ALEMU)</t>
        </is>
      </c>
    </row>
    <row r="2550">
      <c r="H2550" s="26" t="inlineStr">
        <is>
          <t>UP TOWN TRADING PLC</t>
        </is>
      </c>
    </row>
    <row r="2551">
      <c r="H2551" s="26" t="inlineStr">
        <is>
          <t>URRO KIRO OKELLO</t>
        </is>
      </c>
    </row>
    <row r="2552">
      <c r="H2552" s="26" t="inlineStr">
        <is>
          <t>UWAIS TRADING</t>
        </is>
      </c>
    </row>
    <row r="2553">
      <c r="H2553" s="26" t="inlineStr">
        <is>
          <t>V HOTEL AND APARTMENT</t>
        </is>
      </c>
    </row>
    <row r="2554">
      <c r="H2554" s="26" t="inlineStr">
        <is>
          <t>VALDES PLC</t>
        </is>
      </c>
    </row>
    <row r="2555">
      <c r="H2555" s="26" t="inlineStr">
        <is>
          <t>VALLE PLC</t>
        </is>
      </c>
    </row>
    <row r="2556">
      <c r="H2556" s="26" t="inlineStr">
        <is>
          <t>VAMOS TRADING PLC</t>
        </is>
      </c>
    </row>
    <row r="2557">
      <c r="H2557" s="26" t="inlineStr">
        <is>
          <t>VARDAS BUSINESS PLC</t>
        </is>
      </c>
    </row>
    <row r="2558">
      <c r="H2558" s="26" t="inlineStr">
        <is>
          <t>VARIETY SHOPPING CENTER</t>
        </is>
      </c>
    </row>
    <row r="2559">
      <c r="H2559" s="26" t="inlineStr">
        <is>
          <t>VEER GENERAL TRADING PLC</t>
        </is>
      </c>
    </row>
    <row r="2560">
      <c r="H2560" s="26" t="inlineStr">
        <is>
          <t>VICTORIA HOTEL(ZERFE KURABACHEWU DESU)</t>
        </is>
      </c>
    </row>
    <row r="2561">
      <c r="H2561" s="26" t="inlineStr">
        <is>
          <t>VICTORY HOTEL</t>
        </is>
      </c>
    </row>
    <row r="2562">
      <c r="H2562" s="26" t="inlineStr">
        <is>
          <t>VILLA ALPHA HOTEL</t>
        </is>
      </c>
    </row>
    <row r="2563">
      <c r="H2563" s="26" t="inlineStr">
        <is>
          <t>VILLA VERDE REAL ESTATE PLC</t>
        </is>
      </c>
    </row>
    <row r="2564">
      <c r="H2564" s="26" t="inlineStr">
        <is>
          <t>VINKOS TRADING PLC</t>
        </is>
      </c>
    </row>
    <row r="2565">
      <c r="H2565" s="26" t="inlineStr">
        <is>
          <t>VINTAGE CAR DETALING TRADING PLC</t>
        </is>
      </c>
    </row>
    <row r="2566">
      <c r="H2566" s="26" t="inlineStr">
        <is>
          <t>VISION ACADEMY</t>
        </is>
      </c>
    </row>
    <row r="2567">
      <c r="H2567" s="26" t="inlineStr">
        <is>
          <t>VISION PHARMACEUTICAL AND MEDICAL SUPPLIES</t>
        </is>
      </c>
    </row>
    <row r="2568">
      <c r="H2568" s="26" t="inlineStr">
        <is>
          <t>VISUAL TECH IMPORT</t>
        </is>
      </c>
    </row>
    <row r="2569">
      <c r="H2569" s="26" t="inlineStr">
        <is>
          <t>VKARIB TRADING PLC</t>
        </is>
      </c>
    </row>
    <row r="2570">
      <c r="H2570" s="26" t="inlineStr">
        <is>
          <t>W TRADING PLC</t>
        </is>
      </c>
    </row>
    <row r="2571">
      <c r="H2571" s="26" t="inlineStr">
        <is>
          <t>WA ANGA TRADING PLC</t>
        </is>
      </c>
    </row>
    <row r="2572">
      <c r="H2572" s="26" t="inlineStr">
        <is>
          <t>WABE SHEBELE HOTEL S.C</t>
        </is>
      </c>
    </row>
    <row r="2573">
      <c r="H2573" s="26" t="inlineStr">
        <is>
          <t>WADA ENGINEERING PLC</t>
        </is>
      </c>
    </row>
    <row r="2574">
      <c r="H2574" s="26" t="inlineStr">
        <is>
          <t>WAF TRADING PLC</t>
        </is>
      </c>
    </row>
    <row r="2575">
      <c r="H2575" s="26" t="inlineStr">
        <is>
          <t>WALELGN MENGISTU HAILE</t>
        </is>
      </c>
    </row>
    <row r="2576">
      <c r="H2576" s="26" t="inlineStr">
        <is>
          <t>WANIN TRADING</t>
        </is>
      </c>
    </row>
    <row r="2577">
      <c r="H2577" s="26" t="inlineStr">
        <is>
          <t>WANIN TRADING ADDIS ABABA</t>
        </is>
      </c>
    </row>
    <row r="2578">
      <c r="H2578" s="26" t="inlineStr">
        <is>
          <t>WANOFI COFFEE AND CAFE</t>
        </is>
      </c>
    </row>
    <row r="2579">
      <c r="H2579" s="26" t="inlineStr">
        <is>
          <t>WARKA MEDICAL AND BUSINESS SHARE COMPANY</t>
        </is>
      </c>
    </row>
    <row r="2580">
      <c r="H2580" s="26" t="inlineStr">
        <is>
          <t>WASHA HUMAN MEDICINE AND MEDICAL EQUIPMENT</t>
        </is>
      </c>
    </row>
    <row r="2581">
      <c r="H2581" s="26" t="inlineStr">
        <is>
          <t>WASHERA MANUFACTURING PLC</t>
        </is>
      </c>
    </row>
    <row r="2582">
      <c r="H2582" s="26" t="inlineStr">
        <is>
          <t>WASHINGTON HEALTH CARE PLC</t>
        </is>
      </c>
    </row>
    <row r="2583">
      <c r="H2583" s="26" t="inlineStr">
        <is>
          <t>WATER FIT GENERAL TRADING</t>
        </is>
      </c>
    </row>
    <row r="2584">
      <c r="H2584" s="26" t="inlineStr">
        <is>
          <t>WEHABE PLC</t>
        </is>
      </c>
    </row>
    <row r="2585">
      <c r="H2585" s="26" t="inlineStr">
        <is>
          <t>WEJIZ ENGINEERING PLC</t>
        </is>
      </c>
    </row>
    <row r="2586">
      <c r="H2586" s="26" t="inlineStr">
        <is>
          <t>WELDAY KIDANE</t>
        </is>
      </c>
    </row>
    <row r="2587">
      <c r="H2587" s="26" t="inlineStr">
        <is>
          <t>WELELA BISEWER MEKURIA</t>
        </is>
      </c>
    </row>
    <row r="2588">
      <c r="H2588" s="26" t="inlineStr">
        <is>
          <t>WERKALEMAHU ZENEBE HOTEL</t>
        </is>
      </c>
    </row>
    <row r="2589">
      <c r="H2589" s="26" t="inlineStr">
        <is>
          <t>WERQBEZA GENERAL TRADING PLC</t>
        </is>
      </c>
    </row>
    <row r="2590">
      <c r="H2590" s="26" t="inlineStr">
        <is>
          <t>WESENIE TEKLAY BULEHORA</t>
        </is>
      </c>
    </row>
    <row r="2591">
      <c r="H2591" s="26" t="inlineStr">
        <is>
          <t>WESENIE TEKLAY DILLA</t>
        </is>
      </c>
    </row>
    <row r="2592">
      <c r="H2592" s="26" t="inlineStr">
        <is>
          <t>WESENU BEKELE</t>
        </is>
      </c>
    </row>
    <row r="2593">
      <c r="H2593" s="26" t="inlineStr">
        <is>
          <t>WESHE WESHE TRADING PLC</t>
        </is>
      </c>
    </row>
    <row r="2594">
      <c r="H2594" s="26" t="inlineStr">
        <is>
          <t>WEST PHARMA TRADING PRIVATE LIMITED COMPANY</t>
        </is>
      </c>
    </row>
    <row r="2595">
      <c r="H2595" s="26" t="inlineStr">
        <is>
          <t>WEYGOSS GUEST HOUSE</t>
        </is>
      </c>
    </row>
    <row r="2596">
      <c r="H2596" s="26" t="inlineStr">
        <is>
          <t>WEYIB MEDICAL CENTER PLC</t>
        </is>
      </c>
    </row>
    <row r="2597">
      <c r="H2597" s="26" t="inlineStr">
        <is>
          <t>WEYNUT TRADING PLC</t>
        </is>
      </c>
    </row>
    <row r="2598">
      <c r="H2598" s="26" t="inlineStr">
        <is>
          <t>WHITE HOUSE HOTEL</t>
        </is>
      </c>
    </row>
    <row r="2599">
      <c r="H2599" s="26" t="inlineStr">
        <is>
          <t>WHOLESOME CAFE AND RESTAURANT</t>
        </is>
      </c>
    </row>
    <row r="2600">
      <c r="H2600" s="26" t="inlineStr">
        <is>
          <t>WILD EXPEDITIONS TOUR PLC</t>
        </is>
      </c>
    </row>
    <row r="2601">
      <c r="H2601" s="26" t="inlineStr">
        <is>
          <t>WISDOM BUSINESS GROUP PLC</t>
        </is>
      </c>
    </row>
    <row r="2602">
      <c r="H2602" s="26" t="inlineStr">
        <is>
          <t>WISE TEAM PLC</t>
        </is>
      </c>
    </row>
    <row r="2603">
      <c r="H2603" s="26" t="inlineStr">
        <is>
          <t>WIT TECH SOLUTION PLC</t>
        </is>
      </c>
    </row>
    <row r="2604">
      <c r="H2604" s="26" t="inlineStr">
        <is>
          <t>WOLAITA DEVELOPMENT ASSOCIATION</t>
        </is>
      </c>
    </row>
    <row r="2605">
      <c r="H2605" s="26" t="inlineStr">
        <is>
          <t>WOLDAY GEBREMARIAM GEBREGZABHER</t>
        </is>
      </c>
    </row>
    <row r="2606">
      <c r="H2606" s="26" t="inlineStr">
        <is>
          <t>WOLDAY THAYMNOT</t>
        </is>
      </c>
    </row>
    <row r="2607">
      <c r="H2607" s="26" t="inlineStr">
        <is>
          <t>WONDALEM ANDARGE</t>
        </is>
      </c>
    </row>
    <row r="2608">
      <c r="H2608" s="26" t="inlineStr">
        <is>
          <t>WONDARED SEIFU ASRES</t>
        </is>
      </c>
    </row>
    <row r="2609">
      <c r="H2609" s="26" t="inlineStr">
        <is>
          <t>WONDIMU ABERA RUGATO</t>
        </is>
      </c>
    </row>
    <row r="2610">
      <c r="H2610" s="26" t="inlineStr">
        <is>
          <t>WONDIMU WOLDEMICHAEL</t>
        </is>
      </c>
    </row>
    <row r="2611">
      <c r="H2611" s="26" t="inlineStr">
        <is>
          <t>WONDIMU WOLDEMICHAEL BONGA</t>
        </is>
      </c>
    </row>
    <row r="2612">
      <c r="H2612" s="26" t="inlineStr">
        <is>
          <t>WONDWOSEN LANKA LALIMA</t>
        </is>
      </c>
    </row>
    <row r="2613">
      <c r="H2613" s="26" t="inlineStr">
        <is>
          <t>WONDWSON GETU MAMO</t>
        </is>
      </c>
    </row>
    <row r="2614">
      <c r="H2614" s="26" t="inlineStr">
        <is>
          <t>WORKENEH GEBREAB</t>
        </is>
      </c>
    </row>
    <row r="2615">
      <c r="H2615" s="26" t="inlineStr">
        <is>
          <t>WORKNEH AHMED ADEM</t>
        </is>
      </c>
    </row>
    <row r="2616">
      <c r="H2616" s="26" t="inlineStr">
        <is>
          <t>WORKU WUBE</t>
        </is>
      </c>
    </row>
    <row r="2617">
      <c r="H2617" s="26" t="inlineStr">
        <is>
          <t>WORKU ZELEKE TREADING</t>
        </is>
      </c>
    </row>
    <row r="2618">
      <c r="H2618" s="26" t="inlineStr">
        <is>
          <t>WORLD MART SUPERMARKET PLC</t>
        </is>
      </c>
    </row>
    <row r="2619">
      <c r="H2619" s="26" t="inlineStr">
        <is>
          <t>WOSENSEGED ASSEFA YIFRU</t>
        </is>
      </c>
    </row>
    <row r="2620">
      <c r="H2620" s="26" t="inlineStr">
        <is>
          <t>WOUBREX PLC</t>
        </is>
      </c>
    </row>
    <row r="2621">
      <c r="H2621" s="26" t="inlineStr">
        <is>
          <t>WOUBSERK TRADING PLC</t>
        </is>
      </c>
    </row>
    <row r="2622">
      <c r="H2622" s="26" t="inlineStr">
        <is>
          <t>WOW BURGER</t>
        </is>
      </c>
    </row>
    <row r="2623">
      <c r="H2623" s="26" t="inlineStr">
        <is>
          <t>WOW BURGER HA(ABIYU MEKONEN)</t>
        </is>
      </c>
    </row>
    <row r="2624">
      <c r="H2624" s="26" t="inlineStr">
        <is>
          <t>WOW BURGER HA(Haileleul Abbawa Zewdie)</t>
        </is>
      </c>
    </row>
    <row r="2625">
      <c r="H2625" s="26" t="inlineStr">
        <is>
          <t>WOYENESHET TADESSA</t>
        </is>
      </c>
    </row>
    <row r="2626">
      <c r="H2626" s="26" t="inlineStr">
        <is>
          <t>WOYNISHET DESTA MOGES</t>
        </is>
      </c>
    </row>
    <row r="2627">
      <c r="H2627" s="26" t="inlineStr">
        <is>
          <t>WRO MULU MOSHE(DARO HOTEL)</t>
        </is>
      </c>
    </row>
    <row r="2628">
      <c r="H2628" s="26" t="inlineStr">
        <is>
          <t>WU KE SONG WOOD PRODUCTS MANUFACTURING PLC</t>
        </is>
      </c>
    </row>
    <row r="2629">
      <c r="H2629" s="26" t="inlineStr">
        <is>
          <t>WUBALEM GETACHEW ZERIHUN</t>
        </is>
      </c>
    </row>
    <row r="2630">
      <c r="H2630" s="26" t="inlineStr">
        <is>
          <t>WUBESHET TSEHAYNEH KEBEDE</t>
        </is>
      </c>
    </row>
    <row r="2631">
      <c r="H2631" s="26" t="inlineStr">
        <is>
          <t>WUD TECH BUSINESS PLC</t>
        </is>
      </c>
    </row>
    <row r="2632">
      <c r="H2632" s="26" t="inlineStr">
        <is>
          <t>WUDASIE CASTEL HOTEL</t>
        </is>
      </c>
    </row>
    <row r="2633">
      <c r="H2633" s="26" t="inlineStr">
        <is>
          <t>WUTINA HOTEL</t>
        </is>
      </c>
    </row>
    <row r="2634">
      <c r="H2634" s="26" t="inlineStr">
        <is>
          <t>XCORT TREADING PLC</t>
        </is>
      </c>
    </row>
    <row r="2635">
      <c r="H2635" s="26" t="inlineStr">
        <is>
          <t>XIMAR CONCRETE  MANUFACTURING  PLC</t>
        </is>
      </c>
    </row>
    <row r="2636">
      <c r="H2636" s="26" t="inlineStr">
        <is>
          <t>Y J INDUSTRIAL MACHINERY AND TOOLS IMPORTER</t>
        </is>
      </c>
    </row>
    <row r="2637">
      <c r="H2637" s="26" t="inlineStr">
        <is>
          <t>Y N M PASTRY AND RESTURANT PLC</t>
        </is>
      </c>
    </row>
    <row r="2638">
      <c r="H2638" s="26" t="inlineStr">
        <is>
          <t>Y Z T TRADING PLC</t>
        </is>
      </c>
    </row>
    <row r="2639">
      <c r="H2639" s="26" t="inlineStr">
        <is>
          <t>YABSERA TRADING</t>
        </is>
      </c>
    </row>
    <row r="2640">
      <c r="H2640" s="26" t="inlineStr">
        <is>
          <t>YADEN HOTEL</t>
        </is>
      </c>
    </row>
    <row r="2641">
      <c r="H2641" s="26" t="inlineStr">
        <is>
          <t>YADO BUSINESS GROUP PLC</t>
        </is>
      </c>
    </row>
    <row r="2642">
      <c r="H2642" s="26" t="inlineStr">
        <is>
          <t>YAFAFA TRADING PLC</t>
        </is>
      </c>
    </row>
    <row r="2643">
      <c r="H2643" s="26" t="inlineStr">
        <is>
          <t>YANA GENERAL BUSINESS PLC</t>
        </is>
      </c>
    </row>
    <row r="2644">
      <c r="H2644" s="26" t="inlineStr">
        <is>
          <t>YANET ABAY G/EGIZIHABER</t>
        </is>
      </c>
    </row>
    <row r="2645">
      <c r="H2645" s="26" t="inlineStr">
        <is>
          <t>YARDSTICK INTERNATIONAL PLC</t>
        </is>
      </c>
    </row>
    <row r="2646">
      <c r="H2646" s="26" t="inlineStr">
        <is>
          <t>YARED ABRAHA MENGESHA</t>
        </is>
      </c>
    </row>
    <row r="2647">
      <c r="H2647" s="26" t="inlineStr">
        <is>
          <t>YARED BEZU WOLDEAMANUEL</t>
        </is>
      </c>
    </row>
    <row r="2648">
      <c r="H2648" s="26" t="inlineStr">
        <is>
          <t>YARED HAILEMARIAM ABRAHA</t>
        </is>
      </c>
    </row>
    <row r="2649">
      <c r="H2649" s="26" t="inlineStr">
        <is>
          <t>YARED SEIFU HAILE</t>
        </is>
      </c>
    </row>
    <row r="2650">
      <c r="H2650" s="26" t="inlineStr">
        <is>
          <t>YARED YILMA FEREJA</t>
        </is>
      </c>
    </row>
    <row r="2651">
      <c r="H2651" s="26" t="inlineStr">
        <is>
          <t>YAREDE WEBESHETE TEKELMARIYAME</t>
        </is>
      </c>
    </row>
    <row r="2652">
      <c r="H2652" s="26" t="inlineStr">
        <is>
          <t>YARS CAFE AND TRADITIONAL CLOTHING</t>
        </is>
      </c>
    </row>
    <row r="2653">
      <c r="H2653" s="26" t="inlineStr">
        <is>
          <t>YASBIN TRADING PLC</t>
        </is>
      </c>
    </row>
    <row r="2654">
      <c r="H2654" s="26" t="inlineStr">
        <is>
          <t>YASMIN JEMAL MOHAMMED</t>
        </is>
      </c>
    </row>
    <row r="2655">
      <c r="H2655" s="26" t="inlineStr">
        <is>
          <t>YAYA AFRICA ATHLETICS VILLAGE PLC</t>
        </is>
      </c>
    </row>
    <row r="2656">
      <c r="H2656" s="26" t="inlineStr">
        <is>
          <t>YB GOOD TRADING PLC</t>
        </is>
      </c>
    </row>
    <row r="2657">
      <c r="H2657" s="26" t="inlineStr">
        <is>
          <t>YE SUPERMARKET</t>
        </is>
      </c>
    </row>
    <row r="2658">
      <c r="H2658" s="26" t="inlineStr">
        <is>
          <t>YE TERU TRADING P L C</t>
        </is>
      </c>
    </row>
    <row r="2659">
      <c r="H2659" s="26" t="inlineStr">
        <is>
          <t>YE-AFOLI HOTEL PLC</t>
        </is>
      </c>
    </row>
    <row r="2660">
      <c r="H2660" s="26" t="inlineStr">
        <is>
          <t>YEABOGERED BERHANE</t>
        </is>
      </c>
    </row>
    <row r="2661">
      <c r="H2661" s="26" t="inlineStr">
        <is>
          <t>YEBAZ PLC</t>
        </is>
      </c>
    </row>
    <row r="2662">
      <c r="H2662" s="26" t="inlineStr">
        <is>
          <t>YEBELE TEMESGEN ALEMNEHE</t>
        </is>
      </c>
    </row>
    <row r="2663">
      <c r="H2663" s="26" t="inlineStr">
        <is>
          <t>YEBO HOTEL AND SPA</t>
        </is>
      </c>
    </row>
    <row r="2664">
      <c r="H2664" s="26" t="inlineStr">
        <is>
          <t>YEBSSABI GUEST HOUSE PLC</t>
        </is>
      </c>
    </row>
    <row r="2665">
      <c r="H2665" s="26" t="inlineStr">
        <is>
          <t>YECHAKA BUNA PLC 2018</t>
        </is>
      </c>
    </row>
    <row r="2666">
      <c r="H2666" s="26" t="inlineStr">
        <is>
          <t>YEDERE GENARAL TRADDING PLC</t>
        </is>
      </c>
    </row>
    <row r="2667">
      <c r="H2667" s="26" t="inlineStr">
        <is>
          <t>YEDGET MESELAL AKSYON MAHIBER</t>
        </is>
      </c>
    </row>
    <row r="2668">
      <c r="H2668" s="26" t="inlineStr">
        <is>
          <t>YEGNA KAZA CITY CENTER SHARE COMPANY</t>
        </is>
      </c>
    </row>
    <row r="2669">
      <c r="H2669" s="26" t="inlineStr">
        <is>
          <t>YEGNA SUPERMARKET</t>
        </is>
      </c>
    </row>
    <row r="2670">
      <c r="H2670" s="26" t="inlineStr">
        <is>
          <t>YEHULE MARKET FOOD BEVERAGE WHOLE AND RETAIL SELL TRADE</t>
        </is>
      </c>
    </row>
    <row r="2671">
      <c r="H2671" s="26" t="inlineStr">
        <is>
          <t>YEKATIT PHARMACY</t>
        </is>
      </c>
    </row>
    <row r="2672">
      <c r="H2672" s="26" t="inlineStr">
        <is>
          <t>YEKENEMA FAREMASIWOCH DEREJETE</t>
        </is>
      </c>
    </row>
    <row r="2673">
      <c r="H2673" s="26" t="inlineStr">
        <is>
          <t>YELAK ALEMU ADALE</t>
        </is>
      </c>
    </row>
    <row r="2674">
      <c r="H2674" s="26" t="inlineStr">
        <is>
          <t>YEMANE AND TESFATSION GENERAL TRADING PLC</t>
        </is>
      </c>
    </row>
    <row r="2675">
      <c r="H2675" s="26" t="inlineStr">
        <is>
          <t>YEMANE GIRMAY G.MARIAM(SEMHAL HOTEL)</t>
        </is>
      </c>
    </row>
    <row r="2676">
      <c r="H2676" s="26" t="inlineStr">
        <is>
          <t>YEMATAW ZEWDE ENGDA</t>
        </is>
      </c>
    </row>
    <row r="2677">
      <c r="H2677" s="26" t="inlineStr">
        <is>
          <t>YEMEDHNAT INTERNAL MEDICINE SPECIALTY CLINIC</t>
        </is>
      </c>
    </row>
    <row r="2678">
      <c r="H2678" s="26" t="inlineStr">
        <is>
          <t>YEMISRACH DAFFO BAGE</t>
        </is>
      </c>
    </row>
    <row r="2679">
      <c r="H2679" s="26" t="inlineStr">
        <is>
          <t>YENENESH MITIKU ZEWUDE</t>
        </is>
      </c>
    </row>
    <row r="2680">
      <c r="H2680" s="26" t="inlineStr">
        <is>
          <t>YEROKE IMPORT AND EXPORT PLC</t>
        </is>
      </c>
    </row>
    <row r="2681">
      <c r="H2681" s="26" t="inlineStr">
        <is>
          <t>YESHADAM TRADING PLC</t>
        </is>
      </c>
    </row>
    <row r="2682">
      <c r="H2682" s="26" t="inlineStr">
        <is>
          <t>YESHI PLUS PLC</t>
        </is>
      </c>
    </row>
    <row r="2683">
      <c r="H2683" s="26" t="inlineStr">
        <is>
          <t>YESHI TADESSE GEBRU</t>
        </is>
      </c>
    </row>
    <row r="2684">
      <c r="H2684" s="26" t="inlineStr">
        <is>
          <t>YESHIAREG HABTE</t>
        </is>
      </c>
    </row>
    <row r="2685">
      <c r="H2685" s="26" t="inlineStr">
        <is>
          <t>YESHITELA BEKELE</t>
        </is>
      </c>
    </row>
    <row r="2686">
      <c r="H2686" s="26" t="inlineStr">
        <is>
          <t>YESHOWORK SHIFERAW AYANO</t>
        </is>
      </c>
    </row>
    <row r="2687">
      <c r="H2687" s="26" t="inlineStr">
        <is>
          <t>YETIMWORK TADESE ABEBE(ABERA SORECHA HOTEL)</t>
        </is>
      </c>
    </row>
    <row r="2688">
      <c r="H2688" s="26" t="inlineStr">
        <is>
          <t>YETMWORK AWULACHEW BELACHEW(REVOLUTION HOTEL)</t>
        </is>
      </c>
    </row>
    <row r="2689">
      <c r="H2689" s="26" t="inlineStr">
        <is>
          <t>YETNAYET WONDIMU AYEFEYE</t>
        </is>
      </c>
    </row>
    <row r="2690">
      <c r="H2690" s="26" t="inlineStr">
        <is>
          <t>YEYEGEZU LEJOCH HOTEL</t>
        </is>
      </c>
    </row>
    <row r="2691">
      <c r="H2691" s="26" t="inlineStr">
        <is>
          <t>YEYOM TRADING</t>
        </is>
      </c>
    </row>
    <row r="2692">
      <c r="H2692" s="26" t="inlineStr">
        <is>
          <t>YIBAS KENA</t>
        </is>
      </c>
    </row>
    <row r="2693">
      <c r="H2693" s="26" t="inlineStr">
        <is>
          <t>YIBEHAM MANUFACTURING PLC</t>
        </is>
      </c>
    </row>
    <row r="2694">
      <c r="H2694" s="26" t="inlineStr">
        <is>
          <t>YICHALEM ABEBAW GEBEYEW</t>
        </is>
      </c>
    </row>
    <row r="2695">
      <c r="H2695" s="26" t="inlineStr">
        <is>
          <t>YIDNEKACEW GIZAW YIRGA</t>
        </is>
      </c>
    </row>
    <row r="2696">
      <c r="H2696" s="26" t="inlineStr">
        <is>
          <t>YILMA ABERA GEZMU</t>
        </is>
      </c>
    </row>
    <row r="2697">
      <c r="H2697" s="26" t="inlineStr">
        <is>
          <t>YIMN GENERAL TRADING REAL STATE PLC</t>
        </is>
      </c>
    </row>
    <row r="2698">
      <c r="H2698" s="26" t="inlineStr">
        <is>
          <t>YINAWUSH GENERAL TRADING PLC</t>
        </is>
      </c>
    </row>
    <row r="2699">
      <c r="H2699" s="26" t="inlineStr">
        <is>
          <t>YIRGA ALEMU BELAY</t>
        </is>
      </c>
    </row>
    <row r="2700">
      <c r="H2700" s="26" t="inlineStr">
        <is>
          <t>YISAHAK ADUGNA BALCHA</t>
        </is>
      </c>
    </row>
    <row r="2701">
      <c r="H2701" s="26" t="inlineStr">
        <is>
          <t>YITAYEW TSEHAY</t>
        </is>
      </c>
    </row>
    <row r="2702">
      <c r="H2702" s="26" t="inlineStr">
        <is>
          <t>YOBER HOTEL</t>
        </is>
      </c>
    </row>
    <row r="2703">
      <c r="H2703" s="26" t="inlineStr">
        <is>
          <t>YOD ABYSSINIA CULTURAL RESTAURANT AND  HOTEL</t>
        </is>
      </c>
    </row>
    <row r="2704">
      <c r="H2704" s="26" t="inlineStr">
        <is>
          <t>YOFEL HOTEL PLC</t>
        </is>
      </c>
    </row>
    <row r="2705">
      <c r="H2705" s="26" t="inlineStr">
        <is>
          <t>YOHANES ABATE</t>
        </is>
      </c>
    </row>
    <row r="2706">
      <c r="H2706" s="26" t="inlineStr">
        <is>
          <t>YOHANNES  TADESSE BELETE</t>
        </is>
      </c>
    </row>
    <row r="2707">
      <c r="H2707" s="26" t="inlineStr">
        <is>
          <t>YOHANNES GEREMEW LAKEW</t>
        </is>
      </c>
    </row>
    <row r="2708">
      <c r="H2708" s="26" t="inlineStr">
        <is>
          <t>YOHANNES HAILE SIRANO</t>
        </is>
      </c>
    </row>
    <row r="2709">
      <c r="H2709" s="26" t="inlineStr">
        <is>
          <t>YOKAN TRADING PLC</t>
        </is>
      </c>
    </row>
    <row r="2710">
      <c r="H2710" s="26" t="inlineStr">
        <is>
          <t>YOLA CATERING PLC</t>
        </is>
      </c>
    </row>
    <row r="2711">
      <c r="H2711" s="26" t="inlineStr">
        <is>
          <t>YOLY ADDIS HOTEL</t>
        </is>
      </c>
    </row>
    <row r="2712">
      <c r="H2712" s="26" t="inlineStr">
        <is>
          <t>YOMU TRADING</t>
        </is>
      </c>
    </row>
    <row r="2713">
      <c r="H2713" s="26" t="inlineStr">
        <is>
          <t>YONA RETAIL TRADE OF CONSTRUCTION MATERIALS</t>
        </is>
      </c>
    </row>
    <row r="2714">
      <c r="H2714" s="26" t="inlineStr">
        <is>
          <t>YONAS ABERA</t>
        </is>
      </c>
    </row>
    <row r="2715">
      <c r="H2715" s="26" t="inlineStr">
        <is>
          <t>YONAS GIRMA DEMISSE</t>
        </is>
      </c>
    </row>
    <row r="2716">
      <c r="H2716" s="26" t="inlineStr">
        <is>
          <t>YONAS TEKLE MARUT</t>
        </is>
      </c>
    </row>
    <row r="2717">
      <c r="H2717" s="26" t="inlineStr">
        <is>
          <t>YONATHAN MULU WELDMARIYAM</t>
        </is>
      </c>
    </row>
    <row r="2718">
      <c r="H2718" s="26" t="inlineStr">
        <is>
          <t>YONGLI PAPER PRODUCTS MANUFACTURING ONE MEMBER PLC</t>
        </is>
      </c>
    </row>
    <row r="2719">
      <c r="H2719" s="26" t="inlineStr">
        <is>
          <t>YOOYYAA LOUNGE AND RESTAURANT ONE MEMBER PLC</t>
        </is>
      </c>
    </row>
    <row r="2720">
      <c r="H2720" s="26" t="inlineStr">
        <is>
          <t>YORDANOS HOSPITAL</t>
        </is>
      </c>
    </row>
    <row r="2721">
      <c r="H2721" s="26" t="inlineStr">
        <is>
          <t>YORDANOS MESLE ABEBE</t>
        </is>
      </c>
    </row>
    <row r="2722">
      <c r="H2722" s="26" t="inlineStr">
        <is>
          <t>YOSAB TRADING PLC</t>
        </is>
      </c>
    </row>
    <row r="2723">
      <c r="H2723" s="26" t="inlineStr">
        <is>
          <t>YOSEF GIRMA BEKELE</t>
        </is>
      </c>
    </row>
    <row r="2724">
      <c r="H2724" s="26" t="inlineStr">
        <is>
          <t>YOSEF HAILU DEGEFU</t>
        </is>
      </c>
    </row>
    <row r="2725">
      <c r="H2725" s="26" t="inlineStr">
        <is>
          <t>YOSEF WABELO GEBRE</t>
        </is>
      </c>
    </row>
    <row r="2726">
      <c r="H2726" s="26" t="inlineStr">
        <is>
          <t>YOSEPH GEBERU WENDMENEH</t>
        </is>
      </c>
    </row>
    <row r="2727">
      <c r="H2727" s="26" t="inlineStr">
        <is>
          <t>YOSEPH MARKOS WOLDU</t>
        </is>
      </c>
    </row>
    <row r="2728">
      <c r="H2728" s="26" t="inlineStr">
        <is>
          <t>YOSHIMURA TRADE PLC</t>
        </is>
      </c>
    </row>
    <row r="2729">
      <c r="H2729" s="26" t="inlineStr">
        <is>
          <t>YOTAS TRADING ONE MEMBER PLC</t>
        </is>
      </c>
    </row>
    <row r="2730">
      <c r="H2730" s="26" t="inlineStr">
        <is>
          <t>YOUBANG MANUFACTURING OF SHOES PLC</t>
        </is>
      </c>
    </row>
    <row r="2731">
      <c r="H2731" s="26" t="inlineStr">
        <is>
          <t>YOYA ADDIS BAR AND RESTAURANT PLC</t>
        </is>
      </c>
    </row>
    <row r="2732">
      <c r="H2732" s="26" t="inlineStr">
        <is>
          <t>YOYA HEALTH CARE PLC</t>
        </is>
      </c>
    </row>
    <row r="2733">
      <c r="H2733" s="26" t="inlineStr">
        <is>
          <t>YTY CONSTRUCTION</t>
        </is>
      </c>
    </row>
    <row r="2734">
      <c r="H2734" s="26" t="inlineStr">
        <is>
          <t>Z ADDIS HOTEL</t>
        </is>
      </c>
    </row>
    <row r="2735">
      <c r="H2735" s="26" t="inlineStr">
        <is>
          <t>Z ASEFA TRADING PLC</t>
        </is>
      </c>
    </row>
    <row r="2736">
      <c r="H2736" s="26" t="inlineStr">
        <is>
          <t>Z BLUE ONE  PRIVATE LIMITED COMPANY</t>
        </is>
      </c>
    </row>
    <row r="2737">
      <c r="H2737" s="26" t="inlineStr">
        <is>
          <t>Z PLC</t>
        </is>
      </c>
    </row>
    <row r="2738">
      <c r="H2738" s="26" t="inlineStr">
        <is>
          <t>Z TABOR TRADING PLC</t>
        </is>
      </c>
    </row>
    <row r="2739">
      <c r="H2739" s="26" t="inlineStr">
        <is>
          <t>ZAF PHARMACEUTICAL  PLC</t>
        </is>
      </c>
    </row>
    <row r="2740">
      <c r="H2740" s="26" t="inlineStr">
        <is>
          <t>ZAHAB TRADING ANDINVESTMENT PLC</t>
        </is>
      </c>
    </row>
    <row r="2741">
      <c r="H2741" s="26" t="inlineStr">
        <is>
          <t>ZAMU PLC</t>
        </is>
      </c>
    </row>
    <row r="2742">
      <c r="H2742" s="26" t="inlineStr">
        <is>
          <t>ZATI TRADING PLC</t>
        </is>
      </c>
    </row>
    <row r="2743">
      <c r="H2743" s="26" t="inlineStr">
        <is>
          <t>ZAYLON TRADING PLC</t>
        </is>
      </c>
    </row>
    <row r="2744">
      <c r="H2744" s="26" t="inlineStr">
        <is>
          <t>ZE AMIGA IMPORT AND EXPORT PLC</t>
        </is>
      </c>
    </row>
    <row r="2745">
      <c r="H2745" s="26" t="inlineStr">
        <is>
          <t>ZE-EL TRADING PLC</t>
        </is>
      </c>
    </row>
    <row r="2746">
      <c r="H2746" s="26" t="inlineStr">
        <is>
          <t>ZEBIDAR INTERNATIONAL HOTEL</t>
        </is>
      </c>
    </row>
    <row r="2747">
      <c r="H2747" s="26" t="inlineStr">
        <is>
          <t>ZEFMESH PLC</t>
        </is>
      </c>
    </row>
    <row r="2748">
      <c r="H2748" s="26" t="inlineStr">
        <is>
          <t>ZEGENU ABEBE HOTEL</t>
        </is>
      </c>
    </row>
    <row r="2749">
      <c r="H2749" s="26" t="inlineStr">
        <is>
          <t>ZEKARIAS TAMERU MEKASHA</t>
        </is>
      </c>
    </row>
    <row r="2750">
      <c r="H2750" s="26" t="inlineStr">
        <is>
          <t>ZEKARIYAS BAMUD HUKA</t>
        </is>
      </c>
    </row>
    <row r="2751">
      <c r="H2751" s="26" t="inlineStr">
        <is>
          <t>ZEKI AHMED</t>
        </is>
      </c>
    </row>
    <row r="2752">
      <c r="H2752" s="26" t="inlineStr">
        <is>
          <t>ZEKRA TRADING PLC</t>
        </is>
      </c>
    </row>
    <row r="2753">
      <c r="H2753" s="26" t="inlineStr">
        <is>
          <t>ZELALEM ATINAFU ALEMU</t>
        </is>
      </c>
    </row>
    <row r="2754">
      <c r="H2754" s="26" t="inlineStr">
        <is>
          <t>ZELALEM KIBRET MESHSHA</t>
        </is>
      </c>
    </row>
    <row r="2755">
      <c r="H2755" s="26" t="inlineStr">
        <is>
          <t>ZELALEM REDIT WESSEN</t>
        </is>
      </c>
    </row>
    <row r="2756">
      <c r="H2756" s="26" t="inlineStr">
        <is>
          <t>ZELALEM TESFAYE</t>
        </is>
      </c>
    </row>
    <row r="2757">
      <c r="H2757" s="26" t="inlineStr">
        <is>
          <t>ZELEKE WAKENE HOTELS AND TOURISM SERV.PLC(JERUSALEM)</t>
        </is>
      </c>
    </row>
    <row r="2758">
      <c r="H2758" s="26" t="inlineStr">
        <is>
          <t>ZEM TRADING PLC</t>
        </is>
      </c>
    </row>
    <row r="2759">
      <c r="H2759" s="26" t="inlineStr">
        <is>
          <t>ZEMBA GAZEBO PLC</t>
        </is>
      </c>
    </row>
    <row r="2760">
      <c r="H2760" s="26" t="inlineStr">
        <is>
          <t>ZEMEN AND ALAZAR LEATHER  GOODS PRODUCTION PLC</t>
        </is>
      </c>
    </row>
    <row r="2761">
      <c r="H2761" s="26" t="inlineStr">
        <is>
          <t>ZEMEN ASFAW</t>
        </is>
      </c>
    </row>
    <row r="2762">
      <c r="H2762" s="26" t="inlineStr">
        <is>
          <t>ZEMEN TRADING PLC</t>
        </is>
      </c>
    </row>
    <row r="2763">
      <c r="H2763" s="26" t="inlineStr">
        <is>
          <t>ZEMI REAL STATE PLC</t>
        </is>
      </c>
    </row>
    <row r="2764">
      <c r="H2764" s="26" t="inlineStr">
        <is>
          <t>ZEMILO HOTEL</t>
        </is>
      </c>
    </row>
    <row r="2765">
      <c r="H2765" s="26" t="inlineStr">
        <is>
          <t>ZENA THIRD WAVE CAFE</t>
        </is>
      </c>
    </row>
    <row r="2766">
      <c r="H2766" s="26" t="inlineStr">
        <is>
          <t>ZENITH GEBS-ESHET ETHIOPIA LTD</t>
        </is>
      </c>
    </row>
    <row r="2767">
      <c r="H2767" s="26" t="inlineStr">
        <is>
          <t>ZERGA SIBANI MENE</t>
        </is>
      </c>
    </row>
    <row r="2768">
      <c r="H2768" s="26" t="inlineStr">
        <is>
          <t>ZERUFAM INDUSTRY PLC(VORA ADDIS HOTEL)</t>
        </is>
      </c>
    </row>
    <row r="2769">
      <c r="H2769" s="26" t="inlineStr">
        <is>
          <t>ZETA CONSTRUCTION PLC</t>
        </is>
      </c>
    </row>
    <row r="2770">
      <c r="H2770" s="26" t="inlineStr">
        <is>
          <t>ZEWDU TEKA TIRFE</t>
        </is>
      </c>
    </row>
    <row r="2771">
      <c r="H2771" s="26" t="inlineStr">
        <is>
          <t>ZEWDU WOLDESELSSIE BERMEJI</t>
        </is>
      </c>
    </row>
    <row r="2772">
      <c r="H2772" s="26" t="inlineStr">
        <is>
          <t>ZHIYAB GENERAL TRADING PLC</t>
        </is>
      </c>
    </row>
    <row r="2773">
      <c r="H2773" s="26" t="inlineStr">
        <is>
          <t>ZHUOHUA SHOES MANUFACTURING ONE MEMBER PLC</t>
        </is>
      </c>
    </row>
    <row r="2774">
      <c r="H2774" s="26" t="inlineStr">
        <is>
          <t>ZI GENERAL TRADING PLC</t>
        </is>
      </c>
    </row>
    <row r="2775">
      <c r="H2775" s="26" t="inlineStr">
        <is>
          <t>ZIAD ABDURAHMAN SEID</t>
        </is>
      </c>
    </row>
    <row r="2776">
      <c r="H2776" s="26" t="inlineStr">
        <is>
          <t>ZIAD MOHAMMED YUSUF</t>
        </is>
      </c>
    </row>
    <row r="2777">
      <c r="H2777" s="26" t="inlineStr">
        <is>
          <t>ZILIMAY TRADING</t>
        </is>
      </c>
    </row>
    <row r="2778">
      <c r="H2778" s="26" t="inlineStr">
        <is>
          <t>ZINASH AYELE BIRU</t>
        </is>
      </c>
    </row>
    <row r="2779">
      <c r="H2779" s="26" t="inlineStr">
        <is>
          <t>ZINASH MELESE(WINNER BRAKE LINING)</t>
        </is>
      </c>
    </row>
    <row r="2780">
      <c r="H2780" s="26" t="inlineStr">
        <is>
          <t>ZION BUSINESS PLC</t>
        </is>
      </c>
    </row>
    <row r="2781">
      <c r="H2781" s="26" t="inlineStr">
        <is>
          <t>ZIONS TRADING PLC</t>
        </is>
      </c>
    </row>
    <row r="2782">
      <c r="H2782" s="26" t="inlineStr">
        <is>
          <t>ZIONTECH COMPUTER PLC</t>
        </is>
      </c>
    </row>
    <row r="2783">
      <c r="H2783" s="26" t="inlineStr">
        <is>
          <t>ZOI ENGINEERING AND TRADE PLC</t>
        </is>
      </c>
    </row>
    <row r="2784">
      <c r="H2784" s="26" t="inlineStr">
        <is>
          <t>ZOLA INTERNATIONAL HOTEL</t>
        </is>
      </c>
    </row>
    <row r="2785">
      <c r="H2785" s="26" t="inlineStr">
        <is>
          <t>ZOMA MUSEUM PLC</t>
        </is>
      </c>
    </row>
    <row r="2786">
      <c r="H2786" s="26" t="inlineStr">
        <is>
          <t>ZOSARA CAFE AND RESTURANT</t>
        </is>
      </c>
    </row>
    <row r="2787">
      <c r="H2787" s="26" t="inlineStr">
        <is>
          <t>ZUMENAS TREADING PLC</t>
        </is>
      </c>
    </row>
    <row r="2788">
      <c r="H2788" s="26" t="inlineStr">
        <is>
          <t>ZUZI COMMUNICATION TECHNOLOGY PLC</t>
        </is>
      </c>
    </row>
  </sheetData>
  <mergeCells count="6">
    <mergeCell ref="A73:F73"/>
    <mergeCell ref="A4:H4"/>
    <mergeCell ref="A3:H3"/>
    <mergeCell ref="A2:H2"/>
    <mergeCell ref="A8:F8"/>
    <mergeCell ref="A1:H1"/>
  </mergeCells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9AA7B4"/>
    <outlinePr summaryBelow="1" summaryRight="1"/>
    <pageSetUpPr fitToPage="1"/>
  </sheetPr>
  <dimension ref="A1:G2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1" customWidth="1" min="4" max="4"/>
    <col width="14" customWidth="1" min="5" max="5"/>
    <col width="22" customWidth="1" min="6" max="6"/>
    <col width="70" customWidth="1" min="7" max="7"/>
  </cols>
  <sheetData>
    <row r="1" ht="32" customHeight="1">
      <c r="A1" s="1" t="inlineStr">
        <is>
          <t>DATA DICTIONARY</t>
        </is>
      </c>
    </row>
    <row r="2" ht="17" customHeight="1">
      <c r="A2" s="2" t="inlineStr">
        <is>
          <t>Every field in the system: what it is, where it comes from and which list feeds its drop-down. Read this before adding a column.</t>
        </is>
      </c>
    </row>
    <row r="3" ht="15" customHeight="1">
      <c r="A3" s="3" t="inlineStr">
        <is>
          <t>SOURCE: Input = you type it  |  Drop-down = chosen from 23_SETTINGS  |  Calculated = a formula that must never be overwritten.</t>
        </is>
      </c>
    </row>
    <row r="4" ht="28" customHeight="1">
      <c r="A4" s="64" t="inlineStr">
        <is>
          <t>SHEET</t>
        </is>
      </c>
      <c r="B4" s="64" t="inlineStr">
        <is>
          <t>TABLE</t>
        </is>
      </c>
      <c r="C4" s="64" t="inlineStr">
        <is>
          <t>FIELD</t>
        </is>
      </c>
      <c r="D4" s="64" t="inlineStr">
        <is>
          <t>TYPE</t>
        </is>
      </c>
      <c r="E4" s="64" t="inlineStr">
        <is>
          <t>SOURCE</t>
        </is>
      </c>
      <c r="F4" s="64" t="inlineStr">
        <is>
          <t>DROP-DOWN / FORMULA</t>
        </is>
      </c>
      <c r="G4" s="64" t="inlineStr">
        <is>
          <t>DESCRIPTION</t>
        </is>
      </c>
    </row>
    <row r="5" ht="15" customHeight="1">
      <c r="A5" s="26" t="inlineStr">
        <is>
          <t>02_PROJECT_PORTFOLIO</t>
        </is>
      </c>
      <c r="B5" s="26" t="inlineStr">
        <is>
          <t>tblProjects</t>
        </is>
      </c>
      <c r="C5" s="109" t="inlineStr">
        <is>
          <t>Project ID</t>
        </is>
      </c>
      <c r="D5" s="110" t="inlineStr">
        <is>
          <t>text</t>
        </is>
      </c>
      <c r="E5" s="111" t="inlineStr">
        <is>
          <t>Input</t>
        </is>
      </c>
      <c r="F5" s="111" t="inlineStr"/>
      <c r="G5" s="111" t="inlineStr">
        <is>
          <t>Unique project code (PRJ-001)</t>
        </is>
      </c>
    </row>
    <row r="6" ht="15" customHeight="1">
      <c r="A6" s="26" t="inlineStr">
        <is>
          <t>02_PROJECT_PORTFOLIO</t>
        </is>
      </c>
      <c r="B6" s="26" t="inlineStr">
        <is>
          <t>tblProjects</t>
        </is>
      </c>
      <c r="C6" s="109" t="inlineStr">
        <is>
          <t>Customer</t>
        </is>
      </c>
      <c r="D6" s="110" t="inlineStr">
        <is>
          <t>text</t>
        </is>
      </c>
      <c r="E6" s="111" t="inlineStr">
        <is>
          <t>Drop-down</t>
        </is>
      </c>
      <c r="F6" s="111" t="inlineStr">
        <is>
          <t>L_Customers</t>
        </is>
      </c>
      <c r="G6" s="111" t="inlineStr">
        <is>
          <t>Client from the customer master list</t>
        </is>
      </c>
    </row>
    <row r="7" ht="15" customHeight="1">
      <c r="A7" s="26" t="inlineStr">
        <is>
          <t>02_PROJECT_PORTFOLIO</t>
        </is>
      </c>
      <c r="B7" s="26" t="inlineStr">
        <is>
          <t>tblProjects</t>
        </is>
      </c>
      <c r="C7" s="109" t="inlineStr">
        <is>
          <t>Project Name</t>
        </is>
      </c>
      <c r="D7" s="110" t="inlineStr">
        <is>
          <t>text</t>
        </is>
      </c>
      <c r="E7" s="111" t="inlineStr">
        <is>
          <t>Input</t>
        </is>
      </c>
      <c r="F7" s="111" t="inlineStr"/>
      <c r="G7" s="111" t="inlineStr">
        <is>
          <t>Business name of the project</t>
        </is>
      </c>
    </row>
    <row r="8" ht="15" customHeight="1">
      <c r="A8" s="26" t="inlineStr">
        <is>
          <t>02_PROJECT_PORTFOLIO</t>
        </is>
      </c>
      <c r="B8" s="26" t="inlineStr">
        <is>
          <t>tblProjects</t>
        </is>
      </c>
      <c r="C8" s="109" t="inlineStr">
        <is>
          <t>Project Manager</t>
        </is>
      </c>
      <c r="D8" s="110" t="inlineStr">
        <is>
          <t>text</t>
        </is>
      </c>
      <c r="E8" s="111" t="inlineStr">
        <is>
          <t>Drop-down</t>
        </is>
      </c>
      <c r="F8" s="111" t="inlineStr">
        <is>
          <t>L_Owner</t>
        </is>
      </c>
      <c r="G8" s="111" t="inlineStr">
        <is>
          <t>Accountable delivery manager</t>
        </is>
      </c>
    </row>
    <row r="9" ht="15" customHeight="1">
      <c r="A9" s="26" t="inlineStr">
        <is>
          <t>02_PROJECT_PORTFOLIO</t>
        </is>
      </c>
      <c r="B9" s="26" t="inlineStr">
        <is>
          <t>tblProjects</t>
        </is>
      </c>
      <c r="C9" s="109" t="inlineStr">
        <is>
          <t>Department</t>
        </is>
      </c>
      <c r="D9" s="110" t="inlineStr">
        <is>
          <t>text</t>
        </is>
      </c>
      <c r="E9" s="111" t="inlineStr">
        <is>
          <t>Drop-down</t>
        </is>
      </c>
      <c r="F9" s="111" t="inlineStr">
        <is>
          <t>L_Dept</t>
        </is>
      </c>
      <c r="G9" s="111" t="inlineStr">
        <is>
          <t>Owning department</t>
        </is>
      </c>
    </row>
    <row r="10" ht="15" customHeight="1">
      <c r="A10" s="26" t="inlineStr">
        <is>
          <t>02_PROJECT_PORTFOLIO</t>
        </is>
      </c>
      <c r="B10" s="26" t="inlineStr">
        <is>
          <t>tblProjects</t>
        </is>
      </c>
      <c r="C10" s="109" t="inlineStr">
        <is>
          <t>Project Type</t>
        </is>
      </c>
      <c r="D10" s="110" t="inlineStr">
        <is>
          <t>text</t>
        </is>
      </c>
      <c r="E10" s="111" t="inlineStr">
        <is>
          <t>Drop-down</t>
        </is>
      </c>
      <c r="F10" s="111" t="inlineStr">
        <is>
          <t>L_ProjType</t>
        </is>
      </c>
      <c r="G10" s="111" t="inlineStr">
        <is>
          <t>Portfolio classification</t>
        </is>
      </c>
    </row>
    <row r="11" ht="15" customHeight="1">
      <c r="A11" s="26" t="inlineStr">
        <is>
          <t>02_PROJECT_PORTFOLIO</t>
        </is>
      </c>
      <c r="B11" s="26" t="inlineStr">
        <is>
          <t>tblProjects</t>
        </is>
      </c>
      <c r="C11" s="109" t="inlineStr">
        <is>
          <t>Priority</t>
        </is>
      </c>
      <c r="D11" s="110" t="inlineStr">
        <is>
          <t>text</t>
        </is>
      </c>
      <c r="E11" s="111" t="inlineStr">
        <is>
          <t>Drop-down</t>
        </is>
      </c>
      <c r="F11" s="111" t="inlineStr">
        <is>
          <t>L_Priority</t>
        </is>
      </c>
      <c r="G11" s="111" t="inlineStr">
        <is>
          <t>Business priority</t>
        </is>
      </c>
    </row>
    <row r="12" ht="15" customHeight="1">
      <c r="A12" s="26" t="inlineStr">
        <is>
          <t>02_PROJECT_PORTFOLIO</t>
        </is>
      </c>
      <c r="B12" s="26" t="inlineStr">
        <is>
          <t>tblProjects</t>
        </is>
      </c>
      <c r="C12" s="109" t="inlineStr">
        <is>
          <t>Start Date</t>
        </is>
      </c>
      <c r="D12" s="110" t="inlineStr">
        <is>
          <t>date</t>
        </is>
      </c>
      <c r="E12" s="111" t="inlineStr">
        <is>
          <t>Input</t>
        </is>
      </c>
      <c r="F12" s="111" t="inlineStr"/>
      <c r="G12" s="111" t="inlineStr">
        <is>
          <t>Approved start date</t>
        </is>
      </c>
    </row>
    <row r="13" ht="15" customHeight="1">
      <c r="A13" s="26" t="inlineStr">
        <is>
          <t>02_PROJECT_PORTFOLIO</t>
        </is>
      </c>
      <c r="B13" s="26" t="inlineStr">
        <is>
          <t>tblProjects</t>
        </is>
      </c>
      <c r="C13" s="109" t="inlineStr">
        <is>
          <t>Baseline End Date</t>
        </is>
      </c>
      <c r="D13" s="110" t="inlineStr">
        <is>
          <t>date</t>
        </is>
      </c>
      <c r="E13" s="111" t="inlineStr">
        <is>
          <t>Input</t>
        </is>
      </c>
      <c r="F13" s="111" t="inlineStr"/>
      <c r="G13" s="111" t="inlineStr">
        <is>
          <t>Approved / contractual finish</t>
        </is>
      </c>
    </row>
    <row r="14" ht="15" customHeight="1">
      <c r="A14" s="26" t="inlineStr">
        <is>
          <t>02_PROJECT_PORTFOLIO</t>
        </is>
      </c>
      <c r="B14" s="26" t="inlineStr">
        <is>
          <t>tblProjects</t>
        </is>
      </c>
      <c r="C14" s="109" t="inlineStr">
        <is>
          <t>Forecast End Date</t>
        </is>
      </c>
      <c r="D14" s="110" t="inlineStr">
        <is>
          <t>date</t>
        </is>
      </c>
      <c r="E14" s="111" t="inlineStr">
        <is>
          <t>Input</t>
        </is>
      </c>
      <c r="F14" s="111" t="inlineStr"/>
      <c r="G14" s="111" t="inlineStr">
        <is>
          <t>Current best-estimate finish</t>
        </is>
      </c>
    </row>
    <row r="15" ht="15" customHeight="1">
      <c r="A15" s="26" t="inlineStr">
        <is>
          <t>02_PROJECT_PORTFOLIO</t>
        </is>
      </c>
      <c r="B15" s="26" t="inlineStr">
        <is>
          <t>tblProjects</t>
        </is>
      </c>
      <c r="C15" s="109" t="inlineStr">
        <is>
          <t>Actual End Date</t>
        </is>
      </c>
      <c r="D15" s="110" t="inlineStr">
        <is>
          <t>date</t>
        </is>
      </c>
      <c r="E15" s="111" t="inlineStr">
        <is>
          <t>Input</t>
        </is>
      </c>
      <c r="F15" s="111" t="inlineStr"/>
      <c r="G15" s="111" t="inlineStr">
        <is>
          <t>Real finish date</t>
        </is>
      </c>
    </row>
    <row r="16" ht="15" customHeight="1">
      <c r="A16" s="26" t="inlineStr">
        <is>
          <t>02_PROJECT_PORTFOLIO</t>
        </is>
      </c>
      <c r="B16" s="26" t="inlineStr">
        <is>
          <t>tblProjects</t>
        </is>
      </c>
      <c r="C16" s="109" t="inlineStr">
        <is>
          <t>% Complete</t>
        </is>
      </c>
      <c r="D16" s="110" t="inlineStr">
        <is>
          <t>pct</t>
        </is>
      </c>
      <c r="E16" s="111" t="inlineStr">
        <is>
          <t>Input</t>
        </is>
      </c>
      <c r="F16" s="111" t="inlineStr"/>
      <c r="G16" s="111" t="inlineStr">
        <is>
          <t>Percent complete reported by PM</t>
        </is>
      </c>
    </row>
    <row r="17" ht="15" customHeight="1">
      <c r="A17" s="26" t="inlineStr">
        <is>
          <t>02_PROJECT_PORTFOLIO</t>
        </is>
      </c>
      <c r="B17" s="26" t="inlineStr">
        <is>
          <t>tblProjects</t>
        </is>
      </c>
      <c r="C17" s="109" t="inlineStr">
        <is>
          <t>Status</t>
        </is>
      </c>
      <c r="D17" s="110" t="inlineStr">
        <is>
          <t>text</t>
        </is>
      </c>
      <c r="E17" s="111" t="inlineStr">
        <is>
          <t>Drop-down</t>
        </is>
      </c>
      <c r="F17" s="111" t="inlineStr">
        <is>
          <t>L_Status</t>
        </is>
      </c>
      <c r="G17" s="111" t="inlineStr">
        <is>
          <t>Lifecycle status</t>
        </is>
      </c>
    </row>
    <row r="18" ht="15" customHeight="1">
      <c r="A18" s="26" t="inlineStr">
        <is>
          <t>02_PROJECT_PORTFOLIO</t>
        </is>
      </c>
      <c r="B18" s="26" t="inlineStr">
        <is>
          <t>tblProjects</t>
        </is>
      </c>
      <c r="C18" s="109" t="inlineStr">
        <is>
          <t>RAG</t>
        </is>
      </c>
      <c r="D18" s="110" t="inlineStr">
        <is>
          <t>text</t>
        </is>
      </c>
      <c r="E18" s="111" t="inlineStr">
        <is>
          <t>Drop-down</t>
        </is>
      </c>
      <c r="F18" s="111" t="inlineStr">
        <is>
          <t>L_RAG</t>
        </is>
      </c>
      <c r="G18" s="111" t="inlineStr">
        <is>
          <t>Overall health reported by PM</t>
        </is>
      </c>
    </row>
    <row r="19" ht="15" customHeight="1">
      <c r="A19" s="26" t="inlineStr">
        <is>
          <t>02_PROJECT_PORTFOLIO</t>
        </is>
      </c>
      <c r="B19" s="26" t="inlineStr">
        <is>
          <t>tblProjects</t>
        </is>
      </c>
      <c r="C19" s="109" t="inlineStr">
        <is>
          <t>Total Approved Amount</t>
        </is>
      </c>
      <c r="D19" s="110" t="inlineStr">
        <is>
          <t>money</t>
        </is>
      </c>
      <c r="E19" s="111" t="inlineStr">
        <is>
          <t>Input</t>
        </is>
      </c>
      <c r="F19" s="111" t="inlineStr"/>
      <c r="G19" s="111" t="inlineStr">
        <is>
          <t>Total approved amount for the project</t>
        </is>
      </c>
    </row>
    <row r="20" ht="15" customHeight="1">
      <c r="A20" s="26" t="inlineStr">
        <is>
          <t>02_PROJECT_PORTFOLIO</t>
        </is>
      </c>
      <c r="B20" s="26" t="inlineStr">
        <is>
          <t>tblProjects</t>
        </is>
      </c>
      <c r="C20" s="109" t="inlineStr">
        <is>
          <t>Actual Cost</t>
        </is>
      </c>
      <c r="D20" s="110" t="inlineStr">
        <is>
          <t>money</t>
        </is>
      </c>
      <c r="E20" s="111" t="inlineStr">
        <is>
          <t>Input</t>
        </is>
      </c>
      <c r="F20" s="111" t="inlineStr"/>
      <c r="G20" s="111" t="inlineStr">
        <is>
          <t>Cost spent to date</t>
        </is>
      </c>
    </row>
    <row r="21" ht="15" customHeight="1">
      <c r="A21" s="26" t="inlineStr">
        <is>
          <t>02_PROJECT_PORTFOLIO</t>
        </is>
      </c>
      <c r="B21" s="26" t="inlineStr">
        <is>
          <t>tblProjects</t>
        </is>
      </c>
      <c r="C21" s="109" t="inlineStr">
        <is>
          <t>Forecast Cost</t>
        </is>
      </c>
      <c r="D21" s="110" t="inlineStr">
        <is>
          <t>money</t>
        </is>
      </c>
      <c r="E21" s="111" t="inlineStr">
        <is>
          <t>Input</t>
        </is>
      </c>
      <c r="F21" s="111" t="inlineStr"/>
      <c r="G21" s="111" t="inlineStr">
        <is>
          <t>Expected cost at completion</t>
        </is>
      </c>
    </row>
    <row r="22" ht="15" customHeight="1">
      <c r="A22" s="26" t="inlineStr">
        <is>
          <t>02_PROJECT_PORTFOLIO</t>
        </is>
      </c>
      <c r="B22" s="26" t="inlineStr">
        <is>
          <t>tblProjects</t>
        </is>
      </c>
      <c r="C22" s="109" t="inlineStr">
        <is>
          <t>Schedule Variance</t>
        </is>
      </c>
      <c r="D22" s="110" t="inlineStr">
        <is>
          <t>int</t>
        </is>
      </c>
      <c r="E22" s="111" t="inlineStr">
        <is>
          <t>Calculated</t>
        </is>
      </c>
      <c r="F22" s="111" t="inlineStr">
        <is>
          <t>Formula</t>
        </is>
      </c>
      <c r="G22" s="111" t="inlineStr">
        <is>
          <t>Forecast end minus baseline end (days)</t>
        </is>
      </c>
    </row>
    <row r="23" ht="15" customHeight="1">
      <c r="A23" s="26" t="inlineStr">
        <is>
          <t>02_PROJECT_PORTFOLIO</t>
        </is>
      </c>
      <c r="B23" s="26" t="inlineStr">
        <is>
          <t>tblProjects</t>
        </is>
      </c>
      <c r="C23" s="109" t="inlineStr">
        <is>
          <t>Cost Variance</t>
        </is>
      </c>
      <c r="D23" s="110" t="inlineStr">
        <is>
          <t>money</t>
        </is>
      </c>
      <c r="E23" s="111" t="inlineStr">
        <is>
          <t>Calculated</t>
        </is>
      </c>
      <c r="F23" s="111" t="inlineStr">
        <is>
          <t>Formula</t>
        </is>
      </c>
      <c r="G23" s="111" t="inlineStr">
        <is>
          <t>Approved amount minus actual cost</t>
        </is>
      </c>
    </row>
    <row r="24" ht="15" customHeight="1">
      <c r="A24" s="26" t="inlineStr">
        <is>
          <t>02_PROJECT_PORTFOLIO</t>
        </is>
      </c>
      <c r="B24" s="26" t="inlineStr">
        <is>
          <t>tblProjects</t>
        </is>
      </c>
      <c r="C24" s="109" t="inlineStr">
        <is>
          <t>Next Milestone</t>
        </is>
      </c>
      <c r="D24" s="110" t="inlineStr">
        <is>
          <t>text</t>
        </is>
      </c>
      <c r="E24" s="111" t="inlineStr">
        <is>
          <t>Calculated</t>
        </is>
      </c>
      <c r="F24" s="111" t="inlineStr">
        <is>
          <t>Formula</t>
        </is>
      </c>
      <c r="G24" s="111" t="inlineStr">
        <is>
          <t>Next open milestone (auto)</t>
        </is>
      </c>
    </row>
    <row r="25" ht="15" customHeight="1">
      <c r="A25" s="26" t="inlineStr">
        <is>
          <t>02_PROJECT_PORTFOLIO</t>
        </is>
      </c>
      <c r="B25" s="26" t="inlineStr">
        <is>
          <t>tblProjects</t>
        </is>
      </c>
      <c r="C25" s="109" t="inlineStr">
        <is>
          <t>Milestone Date</t>
        </is>
      </c>
      <c r="D25" s="110" t="inlineStr">
        <is>
          <t>date</t>
        </is>
      </c>
      <c r="E25" s="111" t="inlineStr">
        <is>
          <t>Calculated</t>
        </is>
      </c>
      <c r="F25" s="111" t="inlineStr">
        <is>
          <t>Formula</t>
        </is>
      </c>
      <c r="G25" s="111" t="inlineStr">
        <is>
          <t>Forecast date of that milestone</t>
        </is>
      </c>
    </row>
    <row r="26" ht="15" customHeight="1">
      <c r="A26" s="26" t="inlineStr">
        <is>
          <t>02_PROJECT_PORTFOLIO</t>
        </is>
      </c>
      <c r="B26" s="26" t="inlineStr">
        <is>
          <t>tblProjects</t>
        </is>
      </c>
      <c r="C26" s="109" t="inlineStr">
        <is>
          <t>Project Health</t>
        </is>
      </c>
      <c r="D26" s="110" t="inlineStr">
        <is>
          <t>text</t>
        </is>
      </c>
      <c r="E26" s="111" t="inlineStr">
        <is>
          <t>Calculated</t>
        </is>
      </c>
      <c r="F26" s="111" t="inlineStr">
        <is>
          <t>Formula</t>
        </is>
      </c>
      <c r="G26" s="111" t="inlineStr">
        <is>
          <t>Automatic health flag</t>
        </is>
      </c>
    </row>
    <row r="27" ht="15" customHeight="1">
      <c r="A27" s="26" t="inlineStr">
        <is>
          <t>02_PROJECT_PORTFOLIO</t>
        </is>
      </c>
      <c r="B27" s="26" t="inlineStr">
        <is>
          <t>tblProjects</t>
        </is>
      </c>
      <c r="C27" s="109" t="inlineStr">
        <is>
          <t>Last Updated</t>
        </is>
      </c>
      <c r="D27" s="110" t="inlineStr">
        <is>
          <t>date</t>
        </is>
      </c>
      <c r="E27" s="111" t="inlineStr">
        <is>
          <t>Input</t>
        </is>
      </c>
      <c r="F27" s="111" t="inlineStr"/>
      <c r="G27" s="111" t="inlineStr">
        <is>
          <t>Date record last refreshed</t>
        </is>
      </c>
    </row>
    <row r="28" ht="15" customHeight="1">
      <c r="A28" s="26" t="inlineStr">
        <is>
          <t>02_PROJECT_PORTFOLIO</t>
        </is>
      </c>
      <c r="B28" s="26" t="inlineStr">
        <is>
          <t>tblProjects</t>
        </is>
      </c>
      <c r="C28" s="109" t="inlineStr">
        <is>
          <t>Notes</t>
        </is>
      </c>
      <c r="D28" s="110" t="inlineStr">
        <is>
          <t>wrap</t>
        </is>
      </c>
      <c r="E28" s="111" t="inlineStr">
        <is>
          <t>Input</t>
        </is>
      </c>
      <c r="F28" s="111" t="inlineStr"/>
      <c r="G28" s="111" t="inlineStr">
        <is>
          <t>Commentary / SAMPLE marker</t>
        </is>
      </c>
    </row>
    <row r="29" ht="15" customHeight="1">
      <c r="A29" s="26" t="inlineStr">
        <is>
          <t>02_PROJECT_PORTFOLIO</t>
        </is>
      </c>
      <c r="B29" s="26" t="inlineStr">
        <is>
          <t>tblProjects</t>
        </is>
      </c>
      <c r="C29" s="109" t="inlineStr">
        <is>
          <t>ChartIdx</t>
        </is>
      </c>
      <c r="D29" s="110" t="inlineStr">
        <is>
          <t>int</t>
        </is>
      </c>
      <c r="E29" s="111" t="inlineStr">
        <is>
          <t>Calculated</t>
        </is>
      </c>
      <c r="F29" s="111" t="inlineStr">
        <is>
          <t>Formula</t>
        </is>
      </c>
      <c r="G29" s="111" t="inlineStr">
        <is>
          <t>Helper: chart row sequence</t>
        </is>
      </c>
    </row>
    <row r="30" ht="15" customHeight="1">
      <c r="A30" s="26" t="inlineStr">
        <is>
          <t>02_PROJECT_PORTFOLIO</t>
        </is>
      </c>
      <c r="B30" s="26" t="inlineStr">
        <is>
          <t>tblProjects</t>
        </is>
      </c>
      <c r="C30" s="109" t="inlineStr">
        <is>
          <t>RedRank</t>
        </is>
      </c>
      <c r="D30" s="110" t="inlineStr">
        <is>
          <t>int</t>
        </is>
      </c>
      <c r="E30" s="111" t="inlineStr">
        <is>
          <t>Calculated</t>
        </is>
      </c>
      <c r="F30" s="111" t="inlineStr">
        <is>
          <t>Formula</t>
        </is>
      </c>
      <c r="G30" s="111" t="inlineStr">
        <is>
          <t>Helper: rank of red projects</t>
        </is>
      </c>
    </row>
    <row r="31" ht="15" customHeight="1">
      <c r="A31" s="26" t="inlineStr">
        <is>
          <t>02_PROJECT_PORTFOLIO</t>
        </is>
      </c>
      <c r="B31" s="26" t="inlineStr">
        <is>
          <t>tblProjects</t>
        </is>
      </c>
      <c r="C31" s="109" t="inlineStr">
        <is>
          <t>ViewRank</t>
        </is>
      </c>
      <c r="D31" s="110" t="inlineStr">
        <is>
          <t>int</t>
        </is>
      </c>
      <c r="E31" s="111" t="inlineStr">
        <is>
          <t>Calculated</t>
        </is>
      </c>
      <c r="F31" s="111" t="inlineStr">
        <is>
          <t>Formula</t>
        </is>
      </c>
      <c r="G31" s="111" t="inlineStr">
        <is>
          <t>Helper: rank after dashboard filters</t>
        </is>
      </c>
    </row>
    <row r="32" ht="15" customHeight="1">
      <c r="A32" s="26" t="inlineStr">
        <is>
          <t>02_PROJECT_PORTFOLIO</t>
        </is>
      </c>
      <c r="B32" s="26" t="inlineStr">
        <is>
          <t>tblProjects</t>
        </is>
      </c>
      <c r="C32" s="109" t="inlineStr">
        <is>
          <t>Timeline</t>
        </is>
      </c>
      <c r="D32" s="110" t="inlineStr">
        <is>
          <t>text</t>
        </is>
      </c>
      <c r="E32" s="111" t="inlineStr">
        <is>
          <t>Calculated</t>
        </is>
      </c>
      <c r="F32" s="111" t="inlineStr">
        <is>
          <t>Formula</t>
        </is>
      </c>
      <c r="G32" s="111" t="inlineStr">
        <is>
          <t>Helper: start/end text for filter view</t>
        </is>
      </c>
    </row>
    <row r="33" ht="15" customHeight="1">
      <c r="A33" s="26" t="inlineStr">
        <is>
          <t>02_PROJECT_PORTFOLIO</t>
        </is>
      </c>
      <c r="B33" s="26" t="inlineStr">
        <is>
          <t>tblProjects</t>
        </is>
      </c>
      <c r="C33" s="109" t="inlineStr">
        <is>
          <t>Budget/Actual</t>
        </is>
      </c>
      <c r="D33" s="110" t="inlineStr">
        <is>
          <t>text</t>
        </is>
      </c>
      <c r="E33" s="111" t="inlineStr">
        <is>
          <t>Calculated</t>
        </is>
      </c>
      <c r="F33" s="111" t="inlineStr">
        <is>
          <t>Formula</t>
        </is>
      </c>
      <c r="G33" s="111" t="inlineStr">
        <is>
          <t>Helper: approved vs actual text</t>
        </is>
      </c>
    </row>
    <row r="34" ht="15" customHeight="1">
      <c r="A34" s="26" t="inlineStr">
        <is>
          <t>04_WBS_SCHEDULE</t>
        </is>
      </c>
      <c r="B34" s="26" t="inlineStr">
        <is>
          <t>tblWBS</t>
        </is>
      </c>
      <c r="C34" s="109" t="inlineStr">
        <is>
          <t>WBS ID</t>
        </is>
      </c>
      <c r="D34" s="110" t="inlineStr">
        <is>
          <t>text</t>
        </is>
      </c>
      <c r="E34" s="111" t="inlineStr">
        <is>
          <t>Input</t>
        </is>
      </c>
      <c r="F34" s="111" t="inlineStr"/>
      <c r="G34" s="111" t="inlineStr">
        <is>
          <t>Work breakdown code</t>
        </is>
      </c>
    </row>
    <row r="35" ht="15" customHeight="1">
      <c r="A35" s="26" t="inlineStr">
        <is>
          <t>04_WBS_SCHEDULE</t>
        </is>
      </c>
      <c r="B35" s="26" t="inlineStr">
        <is>
          <t>tblWBS</t>
        </is>
      </c>
      <c r="C35" s="109" t="inlineStr">
        <is>
          <t>Project</t>
        </is>
      </c>
      <c r="D35" s="110" t="inlineStr">
        <is>
          <t>text</t>
        </is>
      </c>
      <c r="E35" s="111" t="inlineStr">
        <is>
          <t>Drop-down</t>
        </is>
      </c>
      <c r="F35" s="111" t="inlineStr">
        <is>
          <t>L_Projects</t>
        </is>
      </c>
      <c r="G35" s="111" t="inlineStr">
        <is>
          <t>Owning project</t>
        </is>
      </c>
    </row>
    <row r="36" ht="15" customHeight="1">
      <c r="A36" s="26" t="inlineStr">
        <is>
          <t>04_WBS_SCHEDULE</t>
        </is>
      </c>
      <c r="B36" s="26" t="inlineStr">
        <is>
          <t>tblWBS</t>
        </is>
      </c>
      <c r="C36" s="109" t="inlineStr">
        <is>
          <t>Phase</t>
        </is>
      </c>
      <c r="D36" s="110" t="inlineStr">
        <is>
          <t>text</t>
        </is>
      </c>
      <c r="E36" s="111" t="inlineStr">
        <is>
          <t>Input</t>
        </is>
      </c>
      <c r="F36" s="111" t="inlineStr"/>
      <c r="G36" s="111" t="inlineStr">
        <is>
          <t>Delivery phase</t>
        </is>
      </c>
    </row>
    <row r="37" ht="15" customHeight="1">
      <c r="A37" s="26" t="inlineStr">
        <is>
          <t>04_WBS_SCHEDULE</t>
        </is>
      </c>
      <c r="B37" s="26" t="inlineStr">
        <is>
          <t>tblWBS</t>
        </is>
      </c>
      <c r="C37" s="109" t="inlineStr">
        <is>
          <t>Task</t>
        </is>
      </c>
      <c r="D37" s="110" t="inlineStr">
        <is>
          <t>text</t>
        </is>
      </c>
      <c r="E37" s="111" t="inlineStr">
        <is>
          <t>Input</t>
        </is>
      </c>
      <c r="F37" s="111" t="inlineStr"/>
      <c r="G37" s="111" t="inlineStr">
        <is>
          <t>Task description</t>
        </is>
      </c>
    </row>
    <row r="38" ht="15" customHeight="1">
      <c r="A38" s="26" t="inlineStr">
        <is>
          <t>04_WBS_SCHEDULE</t>
        </is>
      </c>
      <c r="B38" s="26" t="inlineStr">
        <is>
          <t>tblWBS</t>
        </is>
      </c>
      <c r="C38" s="109" t="inlineStr">
        <is>
          <t>Deliverable</t>
        </is>
      </c>
      <c r="D38" s="110" t="inlineStr">
        <is>
          <t>text</t>
        </is>
      </c>
      <c r="E38" s="111" t="inlineStr">
        <is>
          <t>Input</t>
        </is>
      </c>
      <c r="F38" s="111" t="inlineStr"/>
      <c r="G38" s="111" t="inlineStr">
        <is>
          <t>Output produced by the task</t>
        </is>
      </c>
    </row>
    <row r="39" ht="15" customHeight="1">
      <c r="A39" s="26" t="inlineStr">
        <is>
          <t>04_WBS_SCHEDULE</t>
        </is>
      </c>
      <c r="B39" s="26" t="inlineStr">
        <is>
          <t>tblWBS</t>
        </is>
      </c>
      <c r="C39" s="109" t="inlineStr">
        <is>
          <t>Owner</t>
        </is>
      </c>
      <c r="D39" s="110" t="inlineStr">
        <is>
          <t>text</t>
        </is>
      </c>
      <c r="E39" s="111" t="inlineStr">
        <is>
          <t>Drop-down</t>
        </is>
      </c>
      <c r="F39" s="111" t="inlineStr">
        <is>
          <t>L_Owner</t>
        </is>
      </c>
      <c r="G39" s="111" t="inlineStr">
        <is>
          <t>Task owner</t>
        </is>
      </c>
    </row>
    <row r="40" ht="15" customHeight="1">
      <c r="A40" s="26" t="inlineStr">
        <is>
          <t>04_WBS_SCHEDULE</t>
        </is>
      </c>
      <c r="B40" s="26" t="inlineStr">
        <is>
          <t>tblWBS</t>
        </is>
      </c>
      <c r="C40" s="109" t="inlineStr">
        <is>
          <t>Dependency</t>
        </is>
      </c>
      <c r="D40" s="110" t="inlineStr">
        <is>
          <t>text</t>
        </is>
      </c>
      <c r="E40" s="111" t="inlineStr">
        <is>
          <t>Input</t>
        </is>
      </c>
      <c r="F40" s="111" t="inlineStr"/>
      <c r="G40" s="111" t="inlineStr">
        <is>
          <t>Predecessor WBS ID</t>
        </is>
      </c>
    </row>
    <row r="41" ht="15" customHeight="1">
      <c r="A41" s="26" t="inlineStr">
        <is>
          <t>04_WBS_SCHEDULE</t>
        </is>
      </c>
      <c r="B41" s="26" t="inlineStr">
        <is>
          <t>tblWBS</t>
        </is>
      </c>
      <c r="C41" s="109" t="inlineStr">
        <is>
          <t>Start Date</t>
        </is>
      </c>
      <c r="D41" s="110" t="inlineStr">
        <is>
          <t>date</t>
        </is>
      </c>
      <c r="E41" s="111" t="inlineStr">
        <is>
          <t>Input</t>
        </is>
      </c>
      <c r="F41" s="111" t="inlineStr"/>
      <c r="G41" s="111" t="inlineStr">
        <is>
          <t>Planned start</t>
        </is>
      </c>
    </row>
    <row r="42" ht="15" customHeight="1">
      <c r="A42" s="26" t="inlineStr">
        <is>
          <t>04_WBS_SCHEDULE</t>
        </is>
      </c>
      <c r="B42" s="26" t="inlineStr">
        <is>
          <t>tblWBS</t>
        </is>
      </c>
      <c r="C42" s="109" t="inlineStr">
        <is>
          <t>Finish Date</t>
        </is>
      </c>
      <c r="D42" s="110" t="inlineStr">
        <is>
          <t>date</t>
        </is>
      </c>
      <c r="E42" s="111" t="inlineStr">
        <is>
          <t>Input</t>
        </is>
      </c>
      <c r="F42" s="111" t="inlineStr"/>
      <c r="G42" s="111" t="inlineStr">
        <is>
          <t>Planned finish</t>
        </is>
      </c>
    </row>
    <row r="43" ht="15" customHeight="1">
      <c r="A43" s="26" t="inlineStr">
        <is>
          <t>04_WBS_SCHEDULE</t>
        </is>
      </c>
      <c r="B43" s="26" t="inlineStr">
        <is>
          <t>tblWBS</t>
        </is>
      </c>
      <c r="C43" s="109" t="inlineStr">
        <is>
          <t>Baseline Start</t>
        </is>
      </c>
      <c r="D43" s="110" t="inlineStr">
        <is>
          <t>date</t>
        </is>
      </c>
      <c r="E43" s="111" t="inlineStr">
        <is>
          <t>Input</t>
        </is>
      </c>
      <c r="F43" s="111" t="inlineStr"/>
      <c r="G43" s="111" t="inlineStr">
        <is>
          <t>Baseline start</t>
        </is>
      </c>
    </row>
    <row r="44" ht="15" customHeight="1">
      <c r="A44" s="26" t="inlineStr">
        <is>
          <t>04_WBS_SCHEDULE</t>
        </is>
      </c>
      <c r="B44" s="26" t="inlineStr">
        <is>
          <t>tblWBS</t>
        </is>
      </c>
      <c r="C44" s="109" t="inlineStr">
        <is>
          <t>Baseline Finish</t>
        </is>
      </c>
      <c r="D44" s="110" t="inlineStr">
        <is>
          <t>date</t>
        </is>
      </c>
      <c r="E44" s="111" t="inlineStr">
        <is>
          <t>Input</t>
        </is>
      </c>
      <c r="F44" s="111" t="inlineStr"/>
      <c r="G44" s="111" t="inlineStr">
        <is>
          <t>Baseline finish</t>
        </is>
      </c>
    </row>
    <row r="45" ht="15" customHeight="1">
      <c r="A45" s="26" t="inlineStr">
        <is>
          <t>04_WBS_SCHEDULE</t>
        </is>
      </c>
      <c r="B45" s="26" t="inlineStr">
        <is>
          <t>tblWBS</t>
        </is>
      </c>
      <c r="C45" s="109" t="inlineStr">
        <is>
          <t>Duration</t>
        </is>
      </c>
      <c r="D45" s="110" t="inlineStr">
        <is>
          <t>int</t>
        </is>
      </c>
      <c r="E45" s="111" t="inlineStr">
        <is>
          <t>Calculated</t>
        </is>
      </c>
      <c r="F45" s="111" t="inlineStr">
        <is>
          <t>Formula</t>
        </is>
      </c>
      <c r="G45" s="111" t="inlineStr">
        <is>
          <t>Finish minus start + 1 (days)</t>
        </is>
      </c>
    </row>
    <row r="46" ht="15" customHeight="1">
      <c r="A46" s="26" t="inlineStr">
        <is>
          <t>04_WBS_SCHEDULE</t>
        </is>
      </c>
      <c r="B46" s="26" t="inlineStr">
        <is>
          <t>tblWBS</t>
        </is>
      </c>
      <c r="C46" s="109" t="inlineStr">
        <is>
          <t>% Complete</t>
        </is>
      </c>
      <c r="D46" s="110" t="inlineStr">
        <is>
          <t>pct</t>
        </is>
      </c>
      <c r="E46" s="111" t="inlineStr">
        <is>
          <t>Input</t>
        </is>
      </c>
      <c r="F46" s="111" t="inlineStr"/>
      <c r="G46" s="111" t="inlineStr">
        <is>
          <t>Task progress</t>
        </is>
      </c>
    </row>
    <row r="47" ht="15" customHeight="1">
      <c r="A47" s="26" t="inlineStr">
        <is>
          <t>04_WBS_SCHEDULE</t>
        </is>
      </c>
      <c r="B47" s="26" t="inlineStr">
        <is>
          <t>tblWBS</t>
        </is>
      </c>
      <c r="C47" s="109" t="inlineStr">
        <is>
          <t>Status</t>
        </is>
      </c>
      <c r="D47" s="110" t="inlineStr">
        <is>
          <t>text</t>
        </is>
      </c>
      <c r="E47" s="111" t="inlineStr">
        <is>
          <t>Drop-down</t>
        </is>
      </c>
      <c r="F47" s="111" t="inlineStr">
        <is>
          <t>L_TaskStatus</t>
        </is>
      </c>
      <c r="G47" s="111" t="inlineStr">
        <is>
          <t>Task status</t>
        </is>
      </c>
    </row>
    <row r="48" ht="15" customHeight="1">
      <c r="A48" s="26" t="inlineStr">
        <is>
          <t>04_WBS_SCHEDULE</t>
        </is>
      </c>
      <c r="B48" s="26" t="inlineStr">
        <is>
          <t>tblWBS</t>
        </is>
      </c>
      <c r="C48" s="109" t="inlineStr">
        <is>
          <t>Variance</t>
        </is>
      </c>
      <c r="D48" s="110" t="inlineStr">
        <is>
          <t>int</t>
        </is>
      </c>
      <c r="E48" s="111" t="inlineStr">
        <is>
          <t>Calculated</t>
        </is>
      </c>
      <c r="F48" s="111" t="inlineStr">
        <is>
          <t>Formula</t>
        </is>
      </c>
      <c r="G48" s="111" t="inlineStr">
        <is>
          <t>Finish minus baseline finish (days)</t>
        </is>
      </c>
    </row>
    <row r="49" ht="15" customHeight="1">
      <c r="A49" s="26" t="inlineStr">
        <is>
          <t>04_WBS_SCHEDULE</t>
        </is>
      </c>
      <c r="B49" s="26" t="inlineStr">
        <is>
          <t>tblWBS</t>
        </is>
      </c>
      <c r="C49" s="109" t="inlineStr">
        <is>
          <t>Milestone</t>
        </is>
      </c>
      <c r="D49" s="110" t="inlineStr">
        <is>
          <t>text</t>
        </is>
      </c>
      <c r="E49" s="111" t="inlineStr">
        <is>
          <t>Drop-down</t>
        </is>
      </c>
      <c r="F49" s="111" t="inlineStr">
        <is>
          <t>L_YesNo</t>
        </is>
      </c>
      <c r="G49" s="111" t="inlineStr">
        <is>
          <t>Marks a milestone task</t>
        </is>
      </c>
    </row>
    <row r="50" ht="15" customHeight="1">
      <c r="A50" s="26" t="inlineStr">
        <is>
          <t>04_WBS_SCHEDULE</t>
        </is>
      </c>
      <c r="B50" s="26" t="inlineStr">
        <is>
          <t>tblWBS</t>
        </is>
      </c>
      <c r="C50" s="109" t="inlineStr">
        <is>
          <t>Notes</t>
        </is>
      </c>
      <c r="D50" s="110" t="inlineStr">
        <is>
          <t>wrap</t>
        </is>
      </c>
      <c r="E50" s="111" t="inlineStr">
        <is>
          <t>Input</t>
        </is>
      </c>
      <c r="F50" s="111" t="inlineStr"/>
      <c r="G50" s="111" t="inlineStr">
        <is>
          <t>Commentary</t>
        </is>
      </c>
    </row>
    <row r="51" ht="15" customHeight="1">
      <c r="A51" s="26" t="inlineStr">
        <is>
          <t>05_MILESTONES</t>
        </is>
      </c>
      <c r="B51" s="26" t="inlineStr">
        <is>
          <t>tblMilestones</t>
        </is>
      </c>
      <c r="C51" s="109" t="inlineStr">
        <is>
          <t>Milestone ID</t>
        </is>
      </c>
      <c r="D51" s="110" t="inlineStr">
        <is>
          <t>text</t>
        </is>
      </c>
      <c r="E51" s="111" t="inlineStr">
        <is>
          <t>Input</t>
        </is>
      </c>
      <c r="F51" s="111" t="inlineStr"/>
      <c r="G51" s="111" t="inlineStr">
        <is>
          <t>Unique milestone code</t>
        </is>
      </c>
    </row>
    <row r="52" ht="15" customHeight="1">
      <c r="A52" s="26" t="inlineStr">
        <is>
          <t>05_MILESTONES</t>
        </is>
      </c>
      <c r="B52" s="26" t="inlineStr">
        <is>
          <t>tblMilestones</t>
        </is>
      </c>
      <c r="C52" s="109" t="inlineStr">
        <is>
          <t>Project</t>
        </is>
      </c>
      <c r="D52" s="110" t="inlineStr">
        <is>
          <t>text</t>
        </is>
      </c>
      <c r="E52" s="111" t="inlineStr">
        <is>
          <t>Drop-down</t>
        </is>
      </c>
      <c r="F52" s="111" t="inlineStr">
        <is>
          <t>L_Projects</t>
        </is>
      </c>
      <c r="G52" s="111" t="inlineStr">
        <is>
          <t>Owning project</t>
        </is>
      </c>
    </row>
    <row r="53" ht="15" customHeight="1">
      <c r="A53" s="26" t="inlineStr">
        <is>
          <t>05_MILESTONES</t>
        </is>
      </c>
      <c r="B53" s="26" t="inlineStr">
        <is>
          <t>tblMilestones</t>
        </is>
      </c>
      <c r="C53" s="109" t="inlineStr">
        <is>
          <t>Milestone</t>
        </is>
      </c>
      <c r="D53" s="110" t="inlineStr">
        <is>
          <t>text</t>
        </is>
      </c>
      <c r="E53" s="111" t="inlineStr">
        <is>
          <t>Input</t>
        </is>
      </c>
      <c r="F53" s="111" t="inlineStr"/>
      <c r="G53" s="111" t="inlineStr">
        <is>
          <t>Milestone name</t>
        </is>
      </c>
    </row>
    <row r="54" ht="15" customHeight="1">
      <c r="A54" s="26" t="inlineStr">
        <is>
          <t>05_MILESTONES</t>
        </is>
      </c>
      <c r="B54" s="26" t="inlineStr">
        <is>
          <t>tblMilestones</t>
        </is>
      </c>
      <c r="C54" s="109" t="inlineStr">
        <is>
          <t>Owner</t>
        </is>
      </c>
      <c r="D54" s="110" t="inlineStr">
        <is>
          <t>text</t>
        </is>
      </c>
      <c r="E54" s="111" t="inlineStr">
        <is>
          <t>Drop-down</t>
        </is>
      </c>
      <c r="F54" s="111" t="inlineStr">
        <is>
          <t>L_Owner</t>
        </is>
      </c>
      <c r="G54" s="111" t="inlineStr">
        <is>
          <t>Accountable owner</t>
        </is>
      </c>
    </row>
    <row r="55" ht="15" customHeight="1">
      <c r="A55" s="26" t="inlineStr">
        <is>
          <t>05_MILESTONES</t>
        </is>
      </c>
      <c r="B55" s="26" t="inlineStr">
        <is>
          <t>tblMilestones</t>
        </is>
      </c>
      <c r="C55" s="109" t="inlineStr">
        <is>
          <t>Baseline Date</t>
        </is>
      </c>
      <c r="D55" s="110" t="inlineStr">
        <is>
          <t>date</t>
        </is>
      </c>
      <c r="E55" s="111" t="inlineStr">
        <is>
          <t>Input</t>
        </is>
      </c>
      <c r="F55" s="111" t="inlineStr"/>
      <c r="G55" s="111" t="inlineStr">
        <is>
          <t>Baseline date</t>
        </is>
      </c>
    </row>
    <row r="56" ht="15" customHeight="1">
      <c r="A56" s="26" t="inlineStr">
        <is>
          <t>05_MILESTONES</t>
        </is>
      </c>
      <c r="B56" s="26" t="inlineStr">
        <is>
          <t>tblMilestones</t>
        </is>
      </c>
      <c r="C56" s="109" t="inlineStr">
        <is>
          <t>Forecast Date</t>
        </is>
      </c>
      <c r="D56" s="110" t="inlineStr">
        <is>
          <t>date</t>
        </is>
      </c>
      <c r="E56" s="111" t="inlineStr">
        <is>
          <t>Input</t>
        </is>
      </c>
      <c r="F56" s="111" t="inlineStr"/>
      <c r="G56" s="111" t="inlineStr">
        <is>
          <t>Forecast date</t>
        </is>
      </c>
    </row>
    <row r="57" ht="15" customHeight="1">
      <c r="A57" s="26" t="inlineStr">
        <is>
          <t>05_MILESTONES</t>
        </is>
      </c>
      <c r="B57" s="26" t="inlineStr">
        <is>
          <t>tblMilestones</t>
        </is>
      </c>
      <c r="C57" s="109" t="inlineStr">
        <is>
          <t>Actual Date</t>
        </is>
      </c>
      <c r="D57" s="110" t="inlineStr">
        <is>
          <t>date</t>
        </is>
      </c>
      <c r="E57" s="111" t="inlineStr">
        <is>
          <t>Input</t>
        </is>
      </c>
      <c r="F57" s="111" t="inlineStr"/>
      <c r="G57" s="111" t="inlineStr">
        <is>
          <t>Actual completion date</t>
        </is>
      </c>
    </row>
    <row r="58" ht="15" customHeight="1">
      <c r="A58" s="26" t="inlineStr">
        <is>
          <t>05_MILESTONES</t>
        </is>
      </c>
      <c r="B58" s="26" t="inlineStr">
        <is>
          <t>tblMilestones</t>
        </is>
      </c>
      <c r="C58" s="109" t="inlineStr">
        <is>
          <t>Status</t>
        </is>
      </c>
      <c r="D58" s="110" t="inlineStr">
        <is>
          <t>text</t>
        </is>
      </c>
      <c r="E58" s="111" t="inlineStr">
        <is>
          <t>Drop-down</t>
        </is>
      </c>
      <c r="F58" s="111" t="inlineStr">
        <is>
          <t>L_MilestoneStatus</t>
        </is>
      </c>
      <c r="G58" s="111" t="inlineStr">
        <is>
          <t>Milestone status</t>
        </is>
      </c>
    </row>
    <row r="59" ht="15" customHeight="1">
      <c r="A59" s="26" t="inlineStr">
        <is>
          <t>05_MILESTONES</t>
        </is>
      </c>
      <c r="B59" s="26" t="inlineStr">
        <is>
          <t>tblMilestones</t>
        </is>
      </c>
      <c r="C59" s="109" t="inlineStr">
        <is>
          <t>Days Remaining</t>
        </is>
      </c>
      <c r="D59" s="110" t="inlineStr">
        <is>
          <t>int</t>
        </is>
      </c>
      <c r="E59" s="111" t="inlineStr">
        <is>
          <t>Calculated</t>
        </is>
      </c>
      <c r="F59" s="111" t="inlineStr">
        <is>
          <t>Formula</t>
        </is>
      </c>
      <c r="G59" s="111" t="inlineStr">
        <is>
          <t>Forecast date minus today</t>
        </is>
      </c>
    </row>
    <row r="60" ht="15" customHeight="1">
      <c r="A60" s="26" t="inlineStr">
        <is>
          <t>05_MILESTONES</t>
        </is>
      </c>
      <c r="B60" s="26" t="inlineStr">
        <is>
          <t>tblMilestones</t>
        </is>
      </c>
      <c r="C60" s="109" t="inlineStr">
        <is>
          <t>Variance</t>
        </is>
      </c>
      <c r="D60" s="110" t="inlineStr">
        <is>
          <t>int</t>
        </is>
      </c>
      <c r="E60" s="111" t="inlineStr">
        <is>
          <t>Calculated</t>
        </is>
      </c>
      <c r="F60" s="111" t="inlineStr">
        <is>
          <t>Formula</t>
        </is>
      </c>
      <c r="G60" s="111" t="inlineStr">
        <is>
          <t>Forecast minus baseline (days)</t>
        </is>
      </c>
    </row>
    <row r="61" ht="15" customHeight="1">
      <c r="A61" s="26" t="inlineStr">
        <is>
          <t>05_MILESTONES</t>
        </is>
      </c>
      <c r="B61" s="26" t="inlineStr">
        <is>
          <t>tblMilestones</t>
        </is>
      </c>
      <c r="C61" s="109" t="inlineStr">
        <is>
          <t>RAG</t>
        </is>
      </c>
      <c r="D61" s="110" t="inlineStr">
        <is>
          <t>text</t>
        </is>
      </c>
      <c r="E61" s="111" t="inlineStr">
        <is>
          <t>Calculated</t>
        </is>
      </c>
      <c r="F61" s="111" t="inlineStr">
        <is>
          <t>Formula</t>
        </is>
      </c>
      <c r="G61" s="111" t="inlineStr">
        <is>
          <t>Automatic RAG: overdue = Red, 7 days = Yellow</t>
        </is>
      </c>
    </row>
    <row r="62" ht="15" customHeight="1">
      <c r="A62" s="26" t="inlineStr">
        <is>
          <t>05_MILESTONES</t>
        </is>
      </c>
      <c r="B62" s="26" t="inlineStr">
        <is>
          <t>tblMilestones</t>
        </is>
      </c>
      <c r="C62" s="109" t="inlineStr">
        <is>
          <t>Notes</t>
        </is>
      </c>
      <c r="D62" s="110" t="inlineStr">
        <is>
          <t>wrap</t>
        </is>
      </c>
      <c r="E62" s="111" t="inlineStr">
        <is>
          <t>Input</t>
        </is>
      </c>
      <c r="F62" s="111" t="inlineStr"/>
      <c r="G62" s="111" t="inlineStr">
        <is>
          <t>Commentary</t>
        </is>
      </c>
    </row>
    <row r="63" ht="15" customHeight="1">
      <c r="A63" s="26" t="inlineStr">
        <is>
          <t>05_MILESTONES</t>
        </is>
      </c>
      <c r="B63" s="26" t="inlineStr">
        <is>
          <t>tblMilestones</t>
        </is>
      </c>
      <c r="C63" s="109" t="inlineStr">
        <is>
          <t>Key</t>
        </is>
      </c>
      <c r="D63" s="110" t="inlineStr">
        <is>
          <t>text</t>
        </is>
      </c>
      <c r="E63" s="111" t="inlineStr">
        <is>
          <t>Calculated</t>
        </is>
      </c>
      <c r="F63" s="111" t="inlineStr">
        <is>
          <t>Formula</t>
        </is>
      </c>
      <c r="G63" s="111" t="inlineStr">
        <is>
          <t>Helper: sortable key for upcoming milestones</t>
        </is>
      </c>
    </row>
    <row r="64" ht="15" customHeight="1">
      <c r="A64" s="26" t="inlineStr">
        <is>
          <t>05_MILESTONES</t>
        </is>
      </c>
      <c r="B64" s="26" t="inlineStr">
        <is>
          <t>tblMilestones</t>
        </is>
      </c>
      <c r="C64" s="109" t="inlineStr">
        <is>
          <t>ProjKey</t>
        </is>
      </c>
      <c r="D64" s="110" t="inlineStr">
        <is>
          <t>text</t>
        </is>
      </c>
      <c r="E64" s="111" t="inlineStr">
        <is>
          <t>Calculated</t>
        </is>
      </c>
      <c r="F64" s="111" t="inlineStr">
        <is>
          <t>Formula</t>
        </is>
      </c>
      <c r="G64" s="111" t="inlineStr">
        <is>
          <t>Helper: project + rank key</t>
        </is>
      </c>
    </row>
    <row r="65" ht="15" customHeight="1">
      <c r="A65" s="26" t="inlineStr">
        <is>
          <t>06_RAID_LOG</t>
        </is>
      </c>
      <c r="B65" s="26" t="inlineStr">
        <is>
          <t>tblRAID</t>
        </is>
      </c>
      <c r="C65" s="109" t="inlineStr">
        <is>
          <t>ID</t>
        </is>
      </c>
      <c r="D65" s="110" t="inlineStr">
        <is>
          <t>text</t>
        </is>
      </c>
      <c r="E65" s="111" t="inlineStr">
        <is>
          <t>Input</t>
        </is>
      </c>
      <c r="F65" s="111" t="inlineStr"/>
      <c r="G65" s="111" t="inlineStr">
        <is>
          <t>RAID reference (RSK/ASM/ISS/DEP)</t>
        </is>
      </c>
    </row>
    <row r="66" ht="15" customHeight="1">
      <c r="A66" s="26" t="inlineStr">
        <is>
          <t>06_RAID_LOG</t>
        </is>
      </c>
      <c r="B66" s="26" t="inlineStr">
        <is>
          <t>tblRAID</t>
        </is>
      </c>
      <c r="C66" s="109" t="inlineStr">
        <is>
          <t>Project</t>
        </is>
      </c>
      <c r="D66" s="110" t="inlineStr">
        <is>
          <t>text</t>
        </is>
      </c>
      <c r="E66" s="111" t="inlineStr">
        <is>
          <t>Drop-down</t>
        </is>
      </c>
      <c r="F66" s="111" t="inlineStr">
        <is>
          <t>L_Projects</t>
        </is>
      </c>
      <c r="G66" s="111" t="inlineStr">
        <is>
          <t>Owning project</t>
        </is>
      </c>
    </row>
    <row r="67" ht="15" customHeight="1">
      <c r="A67" s="26" t="inlineStr">
        <is>
          <t>06_RAID_LOG</t>
        </is>
      </c>
      <c r="B67" s="26" t="inlineStr">
        <is>
          <t>tblRAID</t>
        </is>
      </c>
      <c r="C67" s="109" t="inlineStr">
        <is>
          <t>Type</t>
        </is>
      </c>
      <c r="D67" s="110" t="inlineStr">
        <is>
          <t>text</t>
        </is>
      </c>
      <c r="E67" s="111" t="inlineStr">
        <is>
          <t>Drop-down</t>
        </is>
      </c>
      <c r="F67" s="111" t="inlineStr">
        <is>
          <t>L_RAIDType</t>
        </is>
      </c>
      <c r="G67" s="111" t="inlineStr">
        <is>
          <t>Risk / Assumption / Issue / Dependency</t>
        </is>
      </c>
    </row>
    <row r="68" ht="15" customHeight="1">
      <c r="A68" s="26" t="inlineStr">
        <is>
          <t>06_RAID_LOG</t>
        </is>
      </c>
      <c r="B68" s="26" t="inlineStr">
        <is>
          <t>tblRAID</t>
        </is>
      </c>
      <c r="C68" s="109" t="inlineStr">
        <is>
          <t>Description</t>
        </is>
      </c>
      <c r="D68" s="110" t="inlineStr">
        <is>
          <t>wrap</t>
        </is>
      </c>
      <c r="E68" s="111" t="inlineStr">
        <is>
          <t>Input</t>
        </is>
      </c>
      <c r="F68" s="111" t="inlineStr"/>
      <c r="G68" s="111" t="inlineStr">
        <is>
          <t>What the item is</t>
        </is>
      </c>
    </row>
    <row r="69" ht="15" customHeight="1">
      <c r="A69" s="26" t="inlineStr">
        <is>
          <t>06_RAID_LOG</t>
        </is>
      </c>
      <c r="B69" s="26" t="inlineStr">
        <is>
          <t>tblRAID</t>
        </is>
      </c>
      <c r="C69" s="109" t="inlineStr">
        <is>
          <t>Category</t>
        </is>
      </c>
      <c r="D69" s="110" t="inlineStr">
        <is>
          <t>text</t>
        </is>
      </c>
      <c r="E69" s="111" t="inlineStr">
        <is>
          <t>Drop-down</t>
        </is>
      </c>
      <c r="F69" s="111" t="inlineStr">
        <is>
          <t>L_RAIDCategory</t>
        </is>
      </c>
      <c r="G69" s="111" t="inlineStr">
        <is>
          <t>Impact area</t>
        </is>
      </c>
    </row>
    <row r="70" ht="15" customHeight="1">
      <c r="A70" s="26" t="inlineStr">
        <is>
          <t>06_RAID_LOG</t>
        </is>
      </c>
      <c r="B70" s="26" t="inlineStr">
        <is>
          <t>tblRAID</t>
        </is>
      </c>
      <c r="C70" s="109" t="inlineStr">
        <is>
          <t>Probability</t>
        </is>
      </c>
      <c r="D70" s="110" t="inlineStr">
        <is>
          <t>text</t>
        </is>
      </c>
      <c r="E70" s="111" t="inlineStr">
        <is>
          <t>Drop-down</t>
        </is>
      </c>
      <c r="F70" s="111" t="inlineStr">
        <is>
          <t>L_Prob</t>
        </is>
      </c>
      <c r="G70" s="111" t="inlineStr">
        <is>
          <t>Probability (risks)</t>
        </is>
      </c>
    </row>
    <row r="71" ht="15" customHeight="1">
      <c r="A71" s="26" t="inlineStr">
        <is>
          <t>06_RAID_LOG</t>
        </is>
      </c>
      <c r="B71" s="26" t="inlineStr">
        <is>
          <t>tblRAID</t>
        </is>
      </c>
      <c r="C71" s="109" t="inlineStr">
        <is>
          <t>Impact</t>
        </is>
      </c>
      <c r="D71" s="110" t="inlineStr">
        <is>
          <t>text</t>
        </is>
      </c>
      <c r="E71" s="111" t="inlineStr">
        <is>
          <t>Drop-down</t>
        </is>
      </c>
      <c r="F71" s="111" t="inlineStr">
        <is>
          <t>L_Impact</t>
        </is>
      </c>
      <c r="G71" s="111" t="inlineStr">
        <is>
          <t>Impact (risks)</t>
        </is>
      </c>
    </row>
    <row r="72" ht="15" customHeight="1">
      <c r="A72" s="26" t="inlineStr">
        <is>
          <t>06_RAID_LOG</t>
        </is>
      </c>
      <c r="B72" s="26" t="inlineStr">
        <is>
          <t>tblRAID</t>
        </is>
      </c>
      <c r="C72" s="109" t="inlineStr">
        <is>
          <t>Risk Score</t>
        </is>
      </c>
      <c r="D72" s="110" t="inlineStr">
        <is>
          <t>int</t>
        </is>
      </c>
      <c r="E72" s="111" t="inlineStr">
        <is>
          <t>Calculated</t>
        </is>
      </c>
      <c r="F72" s="111" t="inlineStr">
        <is>
          <t>Formula</t>
        </is>
      </c>
      <c r="G72" s="111" t="inlineStr">
        <is>
          <t>Probability x Impact (1-16)</t>
        </is>
      </c>
    </row>
    <row r="73" ht="15" customHeight="1">
      <c r="A73" s="26" t="inlineStr">
        <is>
          <t>06_RAID_LOG</t>
        </is>
      </c>
      <c r="B73" s="26" t="inlineStr">
        <is>
          <t>tblRAID</t>
        </is>
      </c>
      <c r="C73" s="109" t="inlineStr">
        <is>
          <t>Priority</t>
        </is>
      </c>
      <c r="D73" s="110" t="inlineStr">
        <is>
          <t>text</t>
        </is>
      </c>
      <c r="E73" s="111" t="inlineStr">
        <is>
          <t>Calculated</t>
        </is>
      </c>
      <c r="F73" s="111" t="inlineStr">
        <is>
          <t>Formula</t>
        </is>
      </c>
      <c r="G73" s="111" t="inlineStr">
        <is>
          <t>Low / Medium / High / Critical from score</t>
        </is>
      </c>
    </row>
    <row r="74" ht="15" customHeight="1">
      <c r="A74" s="26" t="inlineStr">
        <is>
          <t>06_RAID_LOG</t>
        </is>
      </c>
      <c r="B74" s="26" t="inlineStr">
        <is>
          <t>tblRAID</t>
        </is>
      </c>
      <c r="C74" s="109" t="inlineStr">
        <is>
          <t>Owner</t>
        </is>
      </c>
      <c r="D74" s="110" t="inlineStr">
        <is>
          <t>text</t>
        </is>
      </c>
      <c r="E74" s="111" t="inlineStr">
        <is>
          <t>Drop-down</t>
        </is>
      </c>
      <c r="F74" s="111" t="inlineStr">
        <is>
          <t>L_Owner</t>
        </is>
      </c>
      <c r="G74" s="111" t="inlineStr">
        <is>
          <t>Accountable owner</t>
        </is>
      </c>
    </row>
    <row r="75" ht="15" customHeight="1">
      <c r="A75" s="26" t="inlineStr">
        <is>
          <t>06_RAID_LOG</t>
        </is>
      </c>
      <c r="B75" s="26" t="inlineStr">
        <is>
          <t>tblRAID</t>
        </is>
      </c>
      <c r="C75" s="109" t="inlineStr">
        <is>
          <t>Mitigation</t>
        </is>
      </c>
      <c r="D75" s="110" t="inlineStr">
        <is>
          <t>wrap</t>
        </is>
      </c>
      <c r="E75" s="111" t="inlineStr">
        <is>
          <t>Input</t>
        </is>
      </c>
      <c r="F75" s="111" t="inlineStr"/>
      <c r="G75" s="111" t="inlineStr">
        <is>
          <t>Preventive action</t>
        </is>
      </c>
    </row>
    <row r="76" ht="15" customHeight="1">
      <c r="A76" s="26" t="inlineStr">
        <is>
          <t>06_RAID_LOG</t>
        </is>
      </c>
      <c r="B76" s="26" t="inlineStr">
        <is>
          <t>tblRAID</t>
        </is>
      </c>
      <c r="C76" s="109" t="inlineStr">
        <is>
          <t>Contingency</t>
        </is>
      </c>
      <c r="D76" s="110" t="inlineStr">
        <is>
          <t>wrap</t>
        </is>
      </c>
      <c r="E76" s="111" t="inlineStr">
        <is>
          <t>Input</t>
        </is>
      </c>
      <c r="F76" s="111" t="inlineStr"/>
      <c r="G76" s="111" t="inlineStr">
        <is>
          <t>Fallback if it happens</t>
        </is>
      </c>
    </row>
    <row r="77" ht="15" customHeight="1">
      <c r="A77" s="26" t="inlineStr">
        <is>
          <t>06_RAID_LOG</t>
        </is>
      </c>
      <c r="B77" s="26" t="inlineStr">
        <is>
          <t>tblRAID</t>
        </is>
      </c>
      <c r="C77" s="109" t="inlineStr">
        <is>
          <t>Due Date</t>
        </is>
      </c>
      <c r="D77" s="110" t="inlineStr">
        <is>
          <t>date</t>
        </is>
      </c>
      <c r="E77" s="111" t="inlineStr">
        <is>
          <t>Input</t>
        </is>
      </c>
      <c r="F77" s="111" t="inlineStr"/>
      <c r="G77" s="111" t="inlineStr">
        <is>
          <t>Response due date</t>
        </is>
      </c>
    </row>
    <row r="78" ht="15" customHeight="1">
      <c r="A78" s="26" t="inlineStr">
        <is>
          <t>06_RAID_LOG</t>
        </is>
      </c>
      <c r="B78" s="26" t="inlineStr">
        <is>
          <t>tblRAID</t>
        </is>
      </c>
      <c r="C78" s="109" t="inlineStr">
        <is>
          <t>Status</t>
        </is>
      </c>
      <c r="D78" s="110" t="inlineStr">
        <is>
          <t>text</t>
        </is>
      </c>
      <c r="E78" s="111" t="inlineStr">
        <is>
          <t>Drop-down</t>
        </is>
      </c>
      <c r="F78" s="111" t="inlineStr">
        <is>
          <t>L_RAIDStatus</t>
        </is>
      </c>
      <c r="G78" s="111" t="inlineStr">
        <is>
          <t>Open / In Progress / Closed</t>
        </is>
      </c>
    </row>
    <row r="79" ht="15" customHeight="1">
      <c r="A79" s="26" t="inlineStr">
        <is>
          <t>06_RAID_LOG</t>
        </is>
      </c>
      <c r="B79" s="26" t="inlineStr">
        <is>
          <t>tblRAID</t>
        </is>
      </c>
      <c r="C79" s="109" t="inlineStr">
        <is>
          <t>Escalation</t>
        </is>
      </c>
      <c r="D79" s="110" t="inlineStr">
        <is>
          <t>text</t>
        </is>
      </c>
      <c r="E79" s="111" t="inlineStr">
        <is>
          <t>Drop-down</t>
        </is>
      </c>
      <c r="F79" s="111" t="inlineStr">
        <is>
          <t>L_YesNo</t>
        </is>
      </c>
      <c r="G79" s="111" t="inlineStr">
        <is>
          <t>Escalated to management?</t>
        </is>
      </c>
    </row>
    <row r="80" ht="15" customHeight="1">
      <c r="A80" s="26" t="inlineStr">
        <is>
          <t>06_RAID_LOG</t>
        </is>
      </c>
      <c r="B80" s="26" t="inlineStr">
        <is>
          <t>tblRAID</t>
        </is>
      </c>
      <c r="C80" s="109" t="inlineStr">
        <is>
          <t>Resolution</t>
        </is>
      </c>
      <c r="D80" s="110" t="inlineStr">
        <is>
          <t>wrap</t>
        </is>
      </c>
      <c r="E80" s="111" t="inlineStr">
        <is>
          <t>Input</t>
        </is>
      </c>
      <c r="F80" s="111" t="inlineStr"/>
      <c r="G80" s="111" t="inlineStr">
        <is>
          <t>Outcome when closed</t>
        </is>
      </c>
    </row>
    <row r="81" ht="15" customHeight="1">
      <c r="A81" s="26" t="inlineStr">
        <is>
          <t>06_RAID_LOG</t>
        </is>
      </c>
      <c r="B81" s="26" t="inlineStr">
        <is>
          <t>tblRAID</t>
        </is>
      </c>
      <c r="C81" s="109" t="inlineStr">
        <is>
          <t>Date Raised</t>
        </is>
      </c>
      <c r="D81" s="110" t="inlineStr">
        <is>
          <t>date</t>
        </is>
      </c>
      <c r="E81" s="111" t="inlineStr">
        <is>
          <t>Input</t>
        </is>
      </c>
      <c r="F81" s="111" t="inlineStr"/>
      <c r="G81" s="111" t="inlineStr">
        <is>
          <t>Date identified</t>
        </is>
      </c>
    </row>
    <row r="82" ht="15" customHeight="1">
      <c r="A82" s="26" t="inlineStr">
        <is>
          <t>06_RAID_LOG</t>
        </is>
      </c>
      <c r="B82" s="26" t="inlineStr">
        <is>
          <t>tblRAID</t>
        </is>
      </c>
      <c r="C82" s="109" t="inlineStr">
        <is>
          <t>Date Closed</t>
        </is>
      </c>
      <c r="D82" s="110" t="inlineStr">
        <is>
          <t>date</t>
        </is>
      </c>
      <c r="E82" s="111" t="inlineStr">
        <is>
          <t>Input</t>
        </is>
      </c>
      <c r="F82" s="111" t="inlineStr"/>
      <c r="G82" s="111" t="inlineStr">
        <is>
          <t>Date resolved</t>
        </is>
      </c>
    </row>
    <row r="83" ht="15" customHeight="1">
      <c r="A83" s="26" t="inlineStr">
        <is>
          <t>06_RAID_LOG</t>
        </is>
      </c>
      <c r="B83" s="26" t="inlineStr">
        <is>
          <t>tblRAID</t>
        </is>
      </c>
      <c r="C83" s="109" t="inlineStr">
        <is>
          <t>Rank</t>
        </is>
      </c>
      <c r="D83" s="110" t="inlineStr">
        <is>
          <t>int</t>
        </is>
      </c>
      <c r="E83" s="111" t="inlineStr">
        <is>
          <t>Calculated</t>
        </is>
      </c>
      <c r="F83" s="111" t="inlineStr">
        <is>
          <t>Formula</t>
        </is>
      </c>
      <c r="G83" s="111" t="inlineStr">
        <is>
          <t>Helper: risk rank for dashboard</t>
        </is>
      </c>
    </row>
    <row r="84" ht="15" customHeight="1">
      <c r="A84" s="26" t="inlineStr">
        <is>
          <t>06_RAID_LOG</t>
        </is>
      </c>
      <c r="B84" s="26" t="inlineStr">
        <is>
          <t>tblRAID</t>
        </is>
      </c>
      <c r="C84" s="109" t="inlineStr">
        <is>
          <t>ProjKey</t>
        </is>
      </c>
      <c r="D84" s="110" t="inlineStr">
        <is>
          <t>text</t>
        </is>
      </c>
      <c r="E84" s="111" t="inlineStr">
        <is>
          <t>Calculated</t>
        </is>
      </c>
      <c r="F84" s="111" t="inlineStr">
        <is>
          <t>Formula</t>
        </is>
      </c>
      <c r="G84" s="111" t="inlineStr">
        <is>
          <t>Helper: type + project + rank key</t>
        </is>
      </c>
    </row>
    <row r="85" ht="15" customHeight="1">
      <c r="A85" s="26" t="inlineStr">
        <is>
          <t>07_ACTION_TRACKER</t>
        </is>
      </c>
      <c r="B85" s="26" t="inlineStr">
        <is>
          <t>tblActions</t>
        </is>
      </c>
      <c r="C85" s="109" t="inlineStr">
        <is>
          <t>Action ID</t>
        </is>
      </c>
      <c r="D85" s="110" t="inlineStr">
        <is>
          <t>text</t>
        </is>
      </c>
      <c r="E85" s="111" t="inlineStr">
        <is>
          <t>Input</t>
        </is>
      </c>
      <c r="F85" s="111" t="inlineStr"/>
      <c r="G85" s="111" t="inlineStr">
        <is>
          <t>Unique action code</t>
        </is>
      </c>
    </row>
    <row r="86" ht="15" customHeight="1">
      <c r="A86" s="26" t="inlineStr">
        <is>
          <t>07_ACTION_TRACKER</t>
        </is>
      </c>
      <c r="B86" s="26" t="inlineStr">
        <is>
          <t>tblActions</t>
        </is>
      </c>
      <c r="C86" s="109" t="inlineStr">
        <is>
          <t>Project</t>
        </is>
      </c>
      <c r="D86" s="110" t="inlineStr">
        <is>
          <t>text</t>
        </is>
      </c>
      <c r="E86" s="111" t="inlineStr">
        <is>
          <t>Drop-down</t>
        </is>
      </c>
      <c r="F86" s="111" t="inlineStr">
        <is>
          <t>L_Projects</t>
        </is>
      </c>
      <c r="G86" s="111" t="inlineStr">
        <is>
          <t>Owning project</t>
        </is>
      </c>
    </row>
    <row r="87" ht="15" customHeight="1">
      <c r="A87" s="26" t="inlineStr">
        <is>
          <t>07_ACTION_TRACKER</t>
        </is>
      </c>
      <c r="B87" s="26" t="inlineStr">
        <is>
          <t>tblActions</t>
        </is>
      </c>
      <c r="C87" s="109" t="inlineStr">
        <is>
          <t>Meeting / Source</t>
        </is>
      </c>
      <c r="D87" s="110" t="inlineStr">
        <is>
          <t>text</t>
        </is>
      </c>
      <c r="E87" s="111" t="inlineStr">
        <is>
          <t>Input</t>
        </is>
      </c>
      <c r="F87" s="111" t="inlineStr"/>
      <c r="G87" s="111" t="inlineStr">
        <is>
          <t>Where the action came from</t>
        </is>
      </c>
    </row>
    <row r="88" ht="15" customHeight="1">
      <c r="A88" s="26" t="inlineStr">
        <is>
          <t>07_ACTION_TRACKER</t>
        </is>
      </c>
      <c r="B88" s="26" t="inlineStr">
        <is>
          <t>tblActions</t>
        </is>
      </c>
      <c r="C88" s="109" t="inlineStr">
        <is>
          <t>Action</t>
        </is>
      </c>
      <c r="D88" s="110" t="inlineStr">
        <is>
          <t>wrap</t>
        </is>
      </c>
      <c r="E88" s="111" t="inlineStr">
        <is>
          <t>Input</t>
        </is>
      </c>
      <c r="F88" s="111" t="inlineStr"/>
      <c r="G88" s="111" t="inlineStr">
        <is>
          <t>What must be done</t>
        </is>
      </c>
    </row>
    <row r="89" ht="15" customHeight="1">
      <c r="A89" s="26" t="inlineStr">
        <is>
          <t>07_ACTION_TRACKER</t>
        </is>
      </c>
      <c r="B89" s="26" t="inlineStr">
        <is>
          <t>tblActions</t>
        </is>
      </c>
      <c r="C89" s="109" t="inlineStr">
        <is>
          <t>Owner</t>
        </is>
      </c>
      <c r="D89" s="110" t="inlineStr">
        <is>
          <t>text</t>
        </is>
      </c>
      <c r="E89" s="111" t="inlineStr">
        <is>
          <t>Drop-down</t>
        </is>
      </c>
      <c r="F89" s="111" t="inlineStr">
        <is>
          <t>L_Owner</t>
        </is>
      </c>
      <c r="G89" s="111" t="inlineStr">
        <is>
          <t>Single accountable owner</t>
        </is>
      </c>
    </row>
    <row r="90" ht="15" customHeight="1">
      <c r="A90" s="26" t="inlineStr">
        <is>
          <t>07_ACTION_TRACKER</t>
        </is>
      </c>
      <c r="B90" s="26" t="inlineStr">
        <is>
          <t>tblActions</t>
        </is>
      </c>
      <c r="C90" s="109" t="inlineStr">
        <is>
          <t>Priority</t>
        </is>
      </c>
      <c r="D90" s="110" t="inlineStr">
        <is>
          <t>text</t>
        </is>
      </c>
      <c r="E90" s="111" t="inlineStr">
        <is>
          <t>Drop-down</t>
        </is>
      </c>
      <c r="F90" s="111" t="inlineStr">
        <is>
          <t>L_Priority</t>
        </is>
      </c>
      <c r="G90" s="111" t="inlineStr">
        <is>
          <t>Priority</t>
        </is>
      </c>
    </row>
    <row r="91" ht="15" customHeight="1">
      <c r="A91" s="26" t="inlineStr">
        <is>
          <t>07_ACTION_TRACKER</t>
        </is>
      </c>
      <c r="B91" s="26" t="inlineStr">
        <is>
          <t>tblActions</t>
        </is>
      </c>
      <c r="C91" s="109" t="inlineStr">
        <is>
          <t>Date Opened</t>
        </is>
      </c>
      <c r="D91" s="110" t="inlineStr">
        <is>
          <t>date</t>
        </is>
      </c>
      <c r="E91" s="111" t="inlineStr">
        <is>
          <t>Input</t>
        </is>
      </c>
      <c r="F91" s="111" t="inlineStr"/>
      <c r="G91" s="111" t="inlineStr">
        <is>
          <t>Date raised</t>
        </is>
      </c>
    </row>
    <row r="92" ht="15" customHeight="1">
      <c r="A92" s="26" t="inlineStr">
        <is>
          <t>07_ACTION_TRACKER</t>
        </is>
      </c>
      <c r="B92" s="26" t="inlineStr">
        <is>
          <t>tblActions</t>
        </is>
      </c>
      <c r="C92" s="109" t="inlineStr">
        <is>
          <t>Due Date</t>
        </is>
      </c>
      <c r="D92" s="110" t="inlineStr">
        <is>
          <t>date</t>
        </is>
      </c>
      <c r="E92" s="111" t="inlineStr">
        <is>
          <t>Input</t>
        </is>
      </c>
      <c r="F92" s="111" t="inlineStr"/>
      <c r="G92" s="111" t="inlineStr">
        <is>
          <t>Due date</t>
        </is>
      </c>
    </row>
    <row r="93" ht="15" customHeight="1">
      <c r="A93" s="26" t="inlineStr">
        <is>
          <t>07_ACTION_TRACKER</t>
        </is>
      </c>
      <c r="B93" s="26" t="inlineStr">
        <is>
          <t>tblActions</t>
        </is>
      </c>
      <c r="C93" s="109" t="inlineStr">
        <is>
          <t>Status</t>
        </is>
      </c>
      <c r="D93" s="110" t="inlineStr">
        <is>
          <t>text</t>
        </is>
      </c>
      <c r="E93" s="111" t="inlineStr">
        <is>
          <t>Drop-down</t>
        </is>
      </c>
      <c r="F93" s="111" t="inlineStr">
        <is>
          <t>L_ActionStatus</t>
        </is>
      </c>
      <c r="G93" s="111" t="inlineStr">
        <is>
          <t>Action status</t>
        </is>
      </c>
    </row>
    <row r="94" ht="15" customHeight="1">
      <c r="A94" s="26" t="inlineStr">
        <is>
          <t>07_ACTION_TRACKER</t>
        </is>
      </c>
      <c r="B94" s="26" t="inlineStr">
        <is>
          <t>tblActions</t>
        </is>
      </c>
      <c r="C94" s="109" t="inlineStr">
        <is>
          <t>Days Remaining</t>
        </is>
      </c>
      <c r="D94" s="110" t="inlineStr">
        <is>
          <t>int</t>
        </is>
      </c>
      <c r="E94" s="111" t="inlineStr">
        <is>
          <t>Calculated</t>
        </is>
      </c>
      <c r="F94" s="111" t="inlineStr">
        <is>
          <t>Formula</t>
        </is>
      </c>
      <c r="G94" s="111" t="inlineStr">
        <is>
          <t>Due date minus today</t>
        </is>
      </c>
    </row>
    <row r="95" ht="15" customHeight="1">
      <c r="A95" s="26" t="inlineStr">
        <is>
          <t>07_ACTION_TRACKER</t>
        </is>
      </c>
      <c r="B95" s="26" t="inlineStr">
        <is>
          <t>tblActions</t>
        </is>
      </c>
      <c r="C95" s="109" t="inlineStr">
        <is>
          <t>Days Overdue</t>
        </is>
      </c>
      <c r="D95" s="110" t="inlineStr">
        <is>
          <t>int</t>
        </is>
      </c>
      <c r="E95" s="111" t="inlineStr">
        <is>
          <t>Calculated</t>
        </is>
      </c>
      <c r="F95" s="111" t="inlineStr">
        <is>
          <t>Formula</t>
        </is>
      </c>
      <c r="G95" s="111" t="inlineStr">
        <is>
          <t>Days late (0 if not overdue)</t>
        </is>
      </c>
    </row>
    <row r="96" ht="15" customHeight="1">
      <c r="A96" s="26" t="inlineStr">
        <is>
          <t>07_ACTION_TRACKER</t>
        </is>
      </c>
      <c r="B96" s="26" t="inlineStr">
        <is>
          <t>tblActions</t>
        </is>
      </c>
      <c r="C96" s="109" t="inlineStr">
        <is>
          <t>Escalation</t>
        </is>
      </c>
      <c r="D96" s="110" t="inlineStr">
        <is>
          <t>text</t>
        </is>
      </c>
      <c r="E96" s="111" t="inlineStr">
        <is>
          <t>Drop-down</t>
        </is>
      </c>
      <c r="F96" s="111" t="inlineStr">
        <is>
          <t>L_YesNo</t>
        </is>
      </c>
      <c r="G96" s="111" t="inlineStr">
        <is>
          <t>Escalated to management?</t>
        </is>
      </c>
    </row>
    <row r="97" ht="15" customHeight="1">
      <c r="A97" s="26" t="inlineStr">
        <is>
          <t>07_ACTION_TRACKER</t>
        </is>
      </c>
      <c r="B97" s="26" t="inlineStr">
        <is>
          <t>tblActions</t>
        </is>
      </c>
      <c r="C97" s="109" t="inlineStr">
        <is>
          <t>Completion Date</t>
        </is>
      </c>
      <c r="D97" s="110" t="inlineStr">
        <is>
          <t>date</t>
        </is>
      </c>
      <c r="E97" s="111" t="inlineStr">
        <is>
          <t>Input</t>
        </is>
      </c>
      <c r="F97" s="111" t="inlineStr"/>
      <c r="G97" s="111" t="inlineStr">
        <is>
          <t>Date actually completed</t>
        </is>
      </c>
    </row>
    <row r="98" ht="15" customHeight="1">
      <c r="A98" s="26" t="inlineStr">
        <is>
          <t>07_ACTION_TRACKER</t>
        </is>
      </c>
      <c r="B98" s="26" t="inlineStr">
        <is>
          <t>tblActions</t>
        </is>
      </c>
      <c r="C98" s="109" t="inlineStr">
        <is>
          <t>Notes</t>
        </is>
      </c>
      <c r="D98" s="110" t="inlineStr">
        <is>
          <t>wrap</t>
        </is>
      </c>
      <c r="E98" s="111" t="inlineStr">
        <is>
          <t>Input</t>
        </is>
      </c>
      <c r="F98" s="111" t="inlineStr"/>
      <c r="G98" s="111" t="inlineStr">
        <is>
          <t>Commentary</t>
        </is>
      </c>
    </row>
    <row r="99" ht="15" customHeight="1">
      <c r="A99" s="26" t="inlineStr">
        <is>
          <t>07_ACTION_TRACKER</t>
        </is>
      </c>
      <c r="B99" s="26" t="inlineStr">
        <is>
          <t>tblActions</t>
        </is>
      </c>
      <c r="C99" s="109" t="inlineStr">
        <is>
          <t>OverdueRank</t>
        </is>
      </c>
      <c r="D99" s="110" t="inlineStr">
        <is>
          <t>int</t>
        </is>
      </c>
      <c r="E99" s="111" t="inlineStr">
        <is>
          <t>Calculated</t>
        </is>
      </c>
      <c r="F99" s="111" t="inlineStr">
        <is>
          <t>Formula</t>
        </is>
      </c>
      <c r="G99" s="111" t="inlineStr">
        <is>
          <t>Helper: overdue rank for dashboard</t>
        </is>
      </c>
    </row>
    <row r="100" ht="15" customHeight="1">
      <c r="A100" s="26" t="inlineStr">
        <is>
          <t>07_ACTION_TRACKER</t>
        </is>
      </c>
      <c r="B100" s="26" t="inlineStr">
        <is>
          <t>tblActions</t>
        </is>
      </c>
      <c r="C100" s="109" t="inlineStr">
        <is>
          <t>ProjKey</t>
        </is>
      </c>
      <c r="D100" s="110" t="inlineStr">
        <is>
          <t>text</t>
        </is>
      </c>
      <c r="E100" s="111" t="inlineStr">
        <is>
          <t>Calculated</t>
        </is>
      </c>
      <c r="F100" s="111" t="inlineStr">
        <is>
          <t>Formula</t>
        </is>
      </c>
      <c r="G100" s="111" t="inlineStr">
        <is>
          <t>Helper: project + rank key</t>
        </is>
      </c>
    </row>
    <row r="101" ht="15" customHeight="1">
      <c r="A101" s="26" t="inlineStr">
        <is>
          <t>08_RACI_MATRIX</t>
        </is>
      </c>
      <c r="B101" s="26" t="inlineStr">
        <is>
          <t>tblRACI</t>
        </is>
      </c>
      <c r="C101" s="109" t="inlineStr">
        <is>
          <t>Activity / Deliverable</t>
        </is>
      </c>
      <c r="D101" s="110" t="inlineStr">
        <is>
          <t>text</t>
        </is>
      </c>
      <c r="E101" s="111" t="inlineStr">
        <is>
          <t>Input</t>
        </is>
      </c>
      <c r="F101" s="111" t="inlineStr"/>
      <c r="G101" s="111" t="inlineStr">
        <is>
          <t>Project activity or deliverable</t>
        </is>
      </c>
    </row>
    <row r="102" ht="15" customHeight="1">
      <c r="A102" s="26" t="inlineStr">
        <is>
          <t>08_RACI_MATRIX</t>
        </is>
      </c>
      <c r="B102" s="26" t="inlineStr">
        <is>
          <t>tblRACI</t>
        </is>
      </c>
      <c r="C102" s="109" t="inlineStr">
        <is>
          <t>Sponsor</t>
        </is>
      </c>
      <c r="D102" s="110" t="inlineStr">
        <is>
          <t>text</t>
        </is>
      </c>
      <c r="E102" s="111" t="inlineStr">
        <is>
          <t>Drop-down</t>
        </is>
      </c>
      <c r="F102" s="111" t="inlineStr">
        <is>
          <t>L_RACI</t>
        </is>
      </c>
      <c r="G102" s="111" t="inlineStr">
        <is>
          <t>Sponsor RACI code</t>
        </is>
      </c>
    </row>
    <row r="103" ht="15" customHeight="1">
      <c r="A103" s="26" t="inlineStr">
        <is>
          <t>08_RACI_MATRIX</t>
        </is>
      </c>
      <c r="B103" s="26" t="inlineStr">
        <is>
          <t>tblRACI</t>
        </is>
      </c>
      <c r="C103" s="109" t="inlineStr">
        <is>
          <t>PMO</t>
        </is>
      </c>
      <c r="D103" s="110" t="inlineStr">
        <is>
          <t>text</t>
        </is>
      </c>
      <c r="E103" s="111" t="inlineStr">
        <is>
          <t>Drop-down</t>
        </is>
      </c>
      <c r="F103" s="111" t="inlineStr">
        <is>
          <t>L_RACI</t>
        </is>
      </c>
      <c r="G103" s="111" t="inlineStr">
        <is>
          <t>PMO RACI code</t>
        </is>
      </c>
    </row>
    <row r="104" ht="15" customHeight="1">
      <c r="A104" s="26" t="inlineStr">
        <is>
          <t>08_RACI_MATRIX</t>
        </is>
      </c>
      <c r="B104" s="26" t="inlineStr">
        <is>
          <t>tblRACI</t>
        </is>
      </c>
      <c r="C104" s="109" t="inlineStr">
        <is>
          <t>Project Manager</t>
        </is>
      </c>
      <c r="D104" s="110" t="inlineStr">
        <is>
          <t>text</t>
        </is>
      </c>
      <c r="E104" s="111" t="inlineStr">
        <is>
          <t>Drop-down</t>
        </is>
      </c>
      <c r="F104" s="111" t="inlineStr">
        <is>
          <t>L_RACI</t>
        </is>
      </c>
      <c r="G104" s="111" t="inlineStr">
        <is>
          <t>Project Manager RACI code</t>
        </is>
      </c>
    </row>
    <row r="105" ht="15" customHeight="1">
      <c r="A105" s="26" t="inlineStr">
        <is>
          <t>08_RACI_MATRIX</t>
        </is>
      </c>
      <c r="B105" s="26" t="inlineStr">
        <is>
          <t>tblRACI</t>
        </is>
      </c>
      <c r="C105" s="109" t="inlineStr">
        <is>
          <t>Business Owner</t>
        </is>
      </c>
      <c r="D105" s="110" t="inlineStr">
        <is>
          <t>text</t>
        </is>
      </c>
      <c r="E105" s="111" t="inlineStr">
        <is>
          <t>Drop-down</t>
        </is>
      </c>
      <c r="F105" s="111" t="inlineStr">
        <is>
          <t>L_RACI</t>
        </is>
      </c>
      <c r="G105" s="111" t="inlineStr">
        <is>
          <t>Business Owner RACI code</t>
        </is>
      </c>
    </row>
    <row r="106" ht="15" customHeight="1">
      <c r="A106" s="26" t="inlineStr">
        <is>
          <t>08_RACI_MATRIX</t>
        </is>
      </c>
      <c r="B106" s="26" t="inlineStr">
        <is>
          <t>tblRACI</t>
        </is>
      </c>
      <c r="C106" s="109" t="inlineStr">
        <is>
          <t>IT Lead</t>
        </is>
      </c>
      <c r="D106" s="110" t="inlineStr">
        <is>
          <t>text</t>
        </is>
      </c>
      <c r="E106" s="111" t="inlineStr">
        <is>
          <t>Drop-down</t>
        </is>
      </c>
      <c r="F106" s="111" t="inlineStr">
        <is>
          <t>L_RACI</t>
        </is>
      </c>
      <c r="G106" s="111" t="inlineStr">
        <is>
          <t>IT Lead RACI code</t>
        </is>
      </c>
    </row>
    <row r="107" ht="15" customHeight="1">
      <c r="A107" s="26" t="inlineStr">
        <is>
          <t>08_RACI_MATRIX</t>
        </is>
      </c>
      <c r="B107" s="26" t="inlineStr">
        <is>
          <t>tblRACI</t>
        </is>
      </c>
      <c r="C107" s="109" t="inlineStr">
        <is>
          <t>Developer</t>
        </is>
      </c>
      <c r="D107" s="110" t="inlineStr">
        <is>
          <t>text</t>
        </is>
      </c>
      <c r="E107" s="111" t="inlineStr">
        <is>
          <t>Drop-down</t>
        </is>
      </c>
      <c r="F107" s="111" t="inlineStr">
        <is>
          <t>L_RACI</t>
        </is>
      </c>
      <c r="G107" s="111" t="inlineStr">
        <is>
          <t>Developer RACI code</t>
        </is>
      </c>
    </row>
    <row r="108" ht="15" customHeight="1">
      <c r="A108" s="26" t="inlineStr">
        <is>
          <t>08_RACI_MATRIX</t>
        </is>
      </c>
      <c r="B108" s="26" t="inlineStr">
        <is>
          <t>tblRACI</t>
        </is>
      </c>
      <c r="C108" s="109" t="inlineStr">
        <is>
          <t>Finance</t>
        </is>
      </c>
      <c r="D108" s="110" t="inlineStr">
        <is>
          <t>text</t>
        </is>
      </c>
      <c r="E108" s="111" t="inlineStr">
        <is>
          <t>Drop-down</t>
        </is>
      </c>
      <c r="F108" s="111" t="inlineStr">
        <is>
          <t>L_RACI</t>
        </is>
      </c>
      <c r="G108" s="111" t="inlineStr">
        <is>
          <t>Finance RACI code</t>
        </is>
      </c>
    </row>
    <row r="109" ht="15" customHeight="1">
      <c r="A109" s="26" t="inlineStr">
        <is>
          <t>08_RACI_MATRIX</t>
        </is>
      </c>
      <c r="B109" s="26" t="inlineStr">
        <is>
          <t>tblRACI</t>
        </is>
      </c>
      <c r="C109" s="109" t="inlineStr">
        <is>
          <t>Procurement</t>
        </is>
      </c>
      <c r="D109" s="110" t="inlineStr">
        <is>
          <t>text</t>
        </is>
      </c>
      <c r="E109" s="111" t="inlineStr">
        <is>
          <t>Drop-down</t>
        </is>
      </c>
      <c r="F109" s="111" t="inlineStr">
        <is>
          <t>L_RACI</t>
        </is>
      </c>
      <c r="G109" s="111" t="inlineStr">
        <is>
          <t>Procurement RACI code</t>
        </is>
      </c>
    </row>
    <row r="110" ht="15" customHeight="1">
      <c r="A110" s="26" t="inlineStr">
        <is>
          <t>08_RACI_MATRIX</t>
        </is>
      </c>
      <c r="B110" s="26" t="inlineStr">
        <is>
          <t>tblRACI</t>
        </is>
      </c>
      <c r="C110" s="109" t="inlineStr">
        <is>
          <t>QA</t>
        </is>
      </c>
      <c r="D110" s="110" t="inlineStr">
        <is>
          <t>text</t>
        </is>
      </c>
      <c r="E110" s="111" t="inlineStr">
        <is>
          <t>Drop-down</t>
        </is>
      </c>
      <c r="F110" s="111" t="inlineStr">
        <is>
          <t>L_RACI</t>
        </is>
      </c>
      <c r="G110" s="111" t="inlineStr">
        <is>
          <t>QA RACI code</t>
        </is>
      </c>
    </row>
    <row r="111" ht="15" customHeight="1">
      <c r="A111" s="26" t="inlineStr">
        <is>
          <t>08_RACI_MATRIX</t>
        </is>
      </c>
      <c r="B111" s="26" t="inlineStr">
        <is>
          <t>tblRACI</t>
        </is>
      </c>
      <c r="C111" s="109" t="inlineStr">
        <is>
          <t>End Users</t>
        </is>
      </c>
      <c r="D111" s="110" t="inlineStr">
        <is>
          <t>text</t>
        </is>
      </c>
      <c r="E111" s="111" t="inlineStr">
        <is>
          <t>Drop-down</t>
        </is>
      </c>
      <c r="F111" s="111" t="inlineStr">
        <is>
          <t>L_RACI</t>
        </is>
      </c>
      <c r="G111" s="111" t="inlineStr">
        <is>
          <t>End Users RACI code</t>
        </is>
      </c>
    </row>
    <row r="112" ht="15" customHeight="1">
      <c r="A112" s="26" t="inlineStr">
        <is>
          <t>08_RACI_MATRIX</t>
        </is>
      </c>
      <c r="B112" s="26" t="inlineStr">
        <is>
          <t>tblRACI</t>
        </is>
      </c>
      <c r="C112" s="109" t="inlineStr">
        <is>
          <t>A Count</t>
        </is>
      </c>
      <c r="D112" s="110" t="inlineStr">
        <is>
          <t>int</t>
        </is>
      </c>
      <c r="E112" s="111" t="inlineStr">
        <is>
          <t>Calculated</t>
        </is>
      </c>
      <c r="F112" s="111" t="inlineStr">
        <is>
          <t>Formula</t>
        </is>
      </c>
      <c r="G112" s="111" t="inlineStr">
        <is>
          <t>Number of Accountable cells in the row</t>
        </is>
      </c>
    </row>
    <row r="113" ht="15" customHeight="1">
      <c r="A113" s="26" t="inlineStr">
        <is>
          <t>08_RACI_MATRIX</t>
        </is>
      </c>
      <c r="B113" s="26" t="inlineStr">
        <is>
          <t>tblRACI</t>
        </is>
      </c>
      <c r="C113" s="109" t="inlineStr">
        <is>
          <t>Validation</t>
        </is>
      </c>
      <c r="D113" s="110" t="inlineStr">
        <is>
          <t>text</t>
        </is>
      </c>
      <c r="E113" s="111" t="inlineStr">
        <is>
          <t>Calculated</t>
        </is>
      </c>
      <c r="F113" s="111" t="inlineStr">
        <is>
          <t>Formula</t>
        </is>
      </c>
      <c r="G113" s="111" t="inlineStr">
        <is>
          <t>Rule check: exactly one Accountable</t>
        </is>
      </c>
    </row>
    <row r="114" ht="15" customHeight="1">
      <c r="A114" s="26" t="inlineStr">
        <is>
          <t>08_RACI_MATRIX</t>
        </is>
      </c>
      <c r="B114" s="26" t="inlineStr">
        <is>
          <t>tblRACI</t>
        </is>
      </c>
      <c r="C114" s="109" t="inlineStr">
        <is>
          <t>Notes</t>
        </is>
      </c>
      <c r="D114" s="110" t="inlineStr">
        <is>
          <t>wrap</t>
        </is>
      </c>
      <c r="E114" s="111" t="inlineStr">
        <is>
          <t>Input</t>
        </is>
      </c>
      <c r="F114" s="111" t="inlineStr"/>
      <c r="G114" s="111" t="inlineStr">
        <is>
          <t>Commentary</t>
        </is>
      </c>
    </row>
    <row r="115" ht="15" customHeight="1">
      <c r="A115" s="26" t="inlineStr">
        <is>
          <t>09_STAKEHOLDERS</t>
        </is>
      </c>
      <c r="B115" s="26" t="inlineStr">
        <is>
          <t>tblStakeholders</t>
        </is>
      </c>
      <c r="C115" s="109" t="inlineStr">
        <is>
          <t>Stakeholder</t>
        </is>
      </c>
      <c r="D115" s="110" t="inlineStr">
        <is>
          <t>text</t>
        </is>
      </c>
      <c r="E115" s="111" t="inlineStr">
        <is>
          <t>Input</t>
        </is>
      </c>
      <c r="F115" s="111" t="inlineStr"/>
      <c r="G115" s="111" t="inlineStr">
        <is>
          <t>Person or group</t>
        </is>
      </c>
    </row>
    <row r="116" ht="15" customHeight="1">
      <c r="A116" s="26" t="inlineStr">
        <is>
          <t>09_STAKEHOLDERS</t>
        </is>
      </c>
      <c r="B116" s="26" t="inlineStr">
        <is>
          <t>tblStakeholders</t>
        </is>
      </c>
      <c r="C116" s="109" t="inlineStr">
        <is>
          <t>Role</t>
        </is>
      </c>
      <c r="D116" s="110" t="inlineStr">
        <is>
          <t>text</t>
        </is>
      </c>
      <c r="E116" s="111" t="inlineStr">
        <is>
          <t>Input</t>
        </is>
      </c>
      <c r="F116" s="111" t="inlineStr"/>
      <c r="G116" s="111" t="inlineStr">
        <is>
          <t>Role in the organisation</t>
        </is>
      </c>
    </row>
    <row r="117" ht="15" customHeight="1">
      <c r="A117" s="26" t="inlineStr">
        <is>
          <t>09_STAKEHOLDERS</t>
        </is>
      </c>
      <c r="B117" s="26" t="inlineStr">
        <is>
          <t>tblStakeholders</t>
        </is>
      </c>
      <c r="C117" s="109" t="inlineStr">
        <is>
          <t>Department</t>
        </is>
      </c>
      <c r="D117" s="110" t="inlineStr">
        <is>
          <t>text</t>
        </is>
      </c>
      <c r="E117" s="111" t="inlineStr">
        <is>
          <t>Drop-down</t>
        </is>
      </c>
      <c r="F117" s="111" t="inlineStr">
        <is>
          <t>L_Dept</t>
        </is>
      </c>
      <c r="G117" s="111" t="inlineStr">
        <is>
          <t>Department</t>
        </is>
      </c>
    </row>
    <row r="118" ht="15" customHeight="1">
      <c r="A118" s="26" t="inlineStr">
        <is>
          <t>09_STAKEHOLDERS</t>
        </is>
      </c>
      <c r="B118" s="26" t="inlineStr">
        <is>
          <t>tblStakeholders</t>
        </is>
      </c>
      <c r="C118" s="109" t="inlineStr">
        <is>
          <t>Influence</t>
        </is>
      </c>
      <c r="D118" s="110" t="inlineStr">
        <is>
          <t>text</t>
        </is>
      </c>
      <c r="E118" s="111" t="inlineStr">
        <is>
          <t>Drop-down</t>
        </is>
      </c>
      <c r="F118" s="111" t="inlineStr">
        <is>
          <t>L_HML</t>
        </is>
      </c>
      <c r="G118" s="111" t="inlineStr">
        <is>
          <t>Power to affect the project</t>
        </is>
      </c>
    </row>
    <row r="119" ht="15" customHeight="1">
      <c r="A119" s="26" t="inlineStr">
        <is>
          <t>09_STAKEHOLDERS</t>
        </is>
      </c>
      <c r="B119" s="26" t="inlineStr">
        <is>
          <t>tblStakeholders</t>
        </is>
      </c>
      <c r="C119" s="109" t="inlineStr">
        <is>
          <t>Interest</t>
        </is>
      </c>
      <c r="D119" s="110" t="inlineStr">
        <is>
          <t>text</t>
        </is>
      </c>
      <c r="E119" s="111" t="inlineStr">
        <is>
          <t>Drop-down</t>
        </is>
      </c>
      <c r="F119" s="111" t="inlineStr">
        <is>
          <t>L_HML</t>
        </is>
      </c>
      <c r="G119" s="111" t="inlineStr">
        <is>
          <t>Level of interest</t>
        </is>
      </c>
    </row>
    <row r="120" ht="15" customHeight="1">
      <c r="A120" s="26" t="inlineStr">
        <is>
          <t>09_STAKEHOLDERS</t>
        </is>
      </c>
      <c r="B120" s="26" t="inlineStr">
        <is>
          <t>tblStakeholders</t>
        </is>
      </c>
      <c r="C120" s="109" t="inlineStr">
        <is>
          <t>Engagement Level</t>
        </is>
      </c>
      <c r="D120" s="110" t="inlineStr">
        <is>
          <t>text</t>
        </is>
      </c>
      <c r="E120" s="111" t="inlineStr">
        <is>
          <t>Drop-down</t>
        </is>
      </c>
      <c r="F120" s="111" t="inlineStr">
        <is>
          <t>L_Engagement</t>
        </is>
      </c>
      <c r="G120" s="111" t="inlineStr">
        <is>
          <t>Current engagement</t>
        </is>
      </c>
    </row>
    <row r="121" ht="15" customHeight="1">
      <c r="A121" s="26" t="inlineStr">
        <is>
          <t>09_STAKEHOLDERS</t>
        </is>
      </c>
      <c r="B121" s="26" t="inlineStr">
        <is>
          <t>tblStakeholders</t>
        </is>
      </c>
      <c r="C121" s="109" t="inlineStr">
        <is>
          <t>Power/Interest Class</t>
        </is>
      </c>
      <c r="D121" s="110" t="inlineStr">
        <is>
          <t>text</t>
        </is>
      </c>
      <c r="E121" s="111" t="inlineStr">
        <is>
          <t>Calculated</t>
        </is>
      </c>
      <c r="F121" s="111" t="inlineStr">
        <is>
          <t>Formula</t>
        </is>
      </c>
      <c r="G121" s="111" t="inlineStr">
        <is>
          <t>Automatic quadrant classification</t>
        </is>
      </c>
    </row>
    <row r="122" ht="15" customHeight="1">
      <c r="A122" s="26" t="inlineStr">
        <is>
          <t>09_STAKEHOLDERS</t>
        </is>
      </c>
      <c r="B122" s="26" t="inlineStr">
        <is>
          <t>tblStakeholders</t>
        </is>
      </c>
      <c r="C122" s="109" t="inlineStr">
        <is>
          <t>Information Needed</t>
        </is>
      </c>
      <c r="D122" s="110" t="inlineStr">
        <is>
          <t>wrap</t>
        </is>
      </c>
      <c r="E122" s="111" t="inlineStr">
        <is>
          <t>Input</t>
        </is>
      </c>
      <c r="F122" s="111" t="inlineStr"/>
      <c r="G122" s="111" t="inlineStr">
        <is>
          <t>What they must receive</t>
        </is>
      </c>
    </row>
    <row r="123" ht="15" customHeight="1">
      <c r="A123" s="26" t="inlineStr">
        <is>
          <t>09_STAKEHOLDERS</t>
        </is>
      </c>
      <c r="B123" s="26" t="inlineStr">
        <is>
          <t>tblStakeholders</t>
        </is>
      </c>
      <c r="C123" s="109" t="inlineStr">
        <is>
          <t>Frequency</t>
        </is>
      </c>
      <c r="D123" s="110" t="inlineStr">
        <is>
          <t>text</t>
        </is>
      </c>
      <c r="E123" s="111" t="inlineStr">
        <is>
          <t>Drop-down</t>
        </is>
      </c>
      <c r="F123" s="111" t="inlineStr">
        <is>
          <t>L_Frequency</t>
        </is>
      </c>
      <c r="G123" s="111" t="inlineStr">
        <is>
          <t>How often</t>
        </is>
      </c>
    </row>
    <row r="124" ht="15" customHeight="1">
      <c r="A124" s="26" t="inlineStr">
        <is>
          <t>09_STAKEHOLDERS</t>
        </is>
      </c>
      <c r="B124" s="26" t="inlineStr">
        <is>
          <t>tblStakeholders</t>
        </is>
      </c>
      <c r="C124" s="109" t="inlineStr">
        <is>
          <t>Channel</t>
        </is>
      </c>
      <c r="D124" s="110" t="inlineStr">
        <is>
          <t>text</t>
        </is>
      </c>
      <c r="E124" s="111" t="inlineStr">
        <is>
          <t>Input</t>
        </is>
      </c>
      <c r="F124" s="111" t="inlineStr"/>
      <c r="G124" s="111" t="inlineStr">
        <is>
          <t>How it is delivered</t>
        </is>
      </c>
    </row>
    <row r="125" ht="15" customHeight="1">
      <c r="A125" s="26" t="inlineStr">
        <is>
          <t>09_STAKEHOLDERS</t>
        </is>
      </c>
      <c r="B125" s="26" t="inlineStr">
        <is>
          <t>tblStakeholders</t>
        </is>
      </c>
      <c r="C125" s="109" t="inlineStr">
        <is>
          <t>Owner</t>
        </is>
      </c>
      <c r="D125" s="110" t="inlineStr">
        <is>
          <t>text</t>
        </is>
      </c>
      <c r="E125" s="111" t="inlineStr">
        <is>
          <t>Drop-down</t>
        </is>
      </c>
      <c r="F125" s="111" t="inlineStr">
        <is>
          <t>L_Owner</t>
        </is>
      </c>
      <c r="G125" s="111" t="inlineStr">
        <is>
          <t>Who communicates</t>
        </is>
      </c>
    </row>
    <row r="126" ht="15" customHeight="1">
      <c r="A126" s="26" t="inlineStr">
        <is>
          <t>09_STAKEHOLDERS</t>
        </is>
      </c>
      <c r="B126" s="26" t="inlineStr">
        <is>
          <t>tblStakeholders</t>
        </is>
      </c>
      <c r="C126" s="109" t="inlineStr">
        <is>
          <t>Strategy</t>
        </is>
      </c>
      <c r="D126" s="110" t="inlineStr">
        <is>
          <t>wrap</t>
        </is>
      </c>
      <c r="E126" s="111" t="inlineStr">
        <is>
          <t>Input</t>
        </is>
      </c>
      <c r="F126" s="111" t="inlineStr"/>
      <c r="G126" s="111" t="inlineStr">
        <is>
          <t>Engagement approach</t>
        </is>
      </c>
    </row>
    <row r="127" ht="15" customHeight="1">
      <c r="A127" s="26" t="inlineStr">
        <is>
          <t>09_STAKEHOLDERS</t>
        </is>
      </c>
      <c r="B127" s="26" t="inlineStr">
        <is>
          <t>tblStakeholders</t>
        </is>
      </c>
      <c r="C127" s="109" t="inlineStr">
        <is>
          <t>Notes</t>
        </is>
      </c>
      <c r="D127" s="110" t="inlineStr">
        <is>
          <t>wrap</t>
        </is>
      </c>
      <c r="E127" s="111" t="inlineStr">
        <is>
          <t>Input</t>
        </is>
      </c>
      <c r="F127" s="111" t="inlineStr"/>
      <c r="G127" s="111" t="inlineStr">
        <is>
          <t>Commentary / SAMPLE marker</t>
        </is>
      </c>
    </row>
    <row r="128" ht="15" customHeight="1">
      <c r="A128" s="26" t="inlineStr">
        <is>
          <t>10_CHANGE_CONTROL</t>
        </is>
      </c>
      <c r="B128" s="26" t="inlineStr">
        <is>
          <t>tblChange</t>
        </is>
      </c>
      <c r="C128" s="109" t="inlineStr">
        <is>
          <t>Change ID</t>
        </is>
      </c>
      <c r="D128" s="110" t="inlineStr">
        <is>
          <t>text</t>
        </is>
      </c>
      <c r="E128" s="111" t="inlineStr">
        <is>
          <t>Input</t>
        </is>
      </c>
      <c r="F128" s="111" t="inlineStr"/>
      <c r="G128" s="111" t="inlineStr">
        <is>
          <t>Change request code</t>
        </is>
      </c>
    </row>
    <row r="129" ht="15" customHeight="1">
      <c r="A129" s="26" t="inlineStr">
        <is>
          <t>10_CHANGE_CONTROL</t>
        </is>
      </c>
      <c r="B129" s="26" t="inlineStr">
        <is>
          <t>tblChange</t>
        </is>
      </c>
      <c r="C129" s="109" t="inlineStr">
        <is>
          <t>Project</t>
        </is>
      </c>
      <c r="D129" s="110" t="inlineStr">
        <is>
          <t>text</t>
        </is>
      </c>
      <c r="E129" s="111" t="inlineStr">
        <is>
          <t>Drop-down</t>
        </is>
      </c>
      <c r="F129" s="111" t="inlineStr">
        <is>
          <t>L_Projects</t>
        </is>
      </c>
      <c r="G129" s="111" t="inlineStr">
        <is>
          <t>Owning project</t>
        </is>
      </c>
    </row>
    <row r="130" ht="15" customHeight="1">
      <c r="A130" s="26" t="inlineStr">
        <is>
          <t>10_CHANGE_CONTROL</t>
        </is>
      </c>
      <c r="B130" s="26" t="inlineStr">
        <is>
          <t>tblChange</t>
        </is>
      </c>
      <c r="C130" s="109" t="inlineStr">
        <is>
          <t>Requested By</t>
        </is>
      </c>
      <c r="D130" s="110" t="inlineStr">
        <is>
          <t>text</t>
        </is>
      </c>
      <c r="E130" s="111" t="inlineStr">
        <is>
          <t>Input</t>
        </is>
      </c>
      <c r="F130" s="111" t="inlineStr"/>
      <c r="G130" s="111" t="inlineStr">
        <is>
          <t>Requester</t>
        </is>
      </c>
    </row>
    <row r="131" ht="15" customHeight="1">
      <c r="A131" s="26" t="inlineStr">
        <is>
          <t>10_CHANGE_CONTROL</t>
        </is>
      </c>
      <c r="B131" s="26" t="inlineStr">
        <is>
          <t>tblChange</t>
        </is>
      </c>
      <c r="C131" s="109" t="inlineStr">
        <is>
          <t>Request Date</t>
        </is>
      </c>
      <c r="D131" s="110" t="inlineStr">
        <is>
          <t>date</t>
        </is>
      </c>
      <c r="E131" s="111" t="inlineStr">
        <is>
          <t>Input</t>
        </is>
      </c>
      <c r="F131" s="111" t="inlineStr"/>
      <c r="G131" s="111" t="inlineStr">
        <is>
          <t>Date raised</t>
        </is>
      </c>
    </row>
    <row r="132" ht="15" customHeight="1">
      <c r="A132" s="26" t="inlineStr">
        <is>
          <t>10_CHANGE_CONTROL</t>
        </is>
      </c>
      <c r="B132" s="26" t="inlineStr">
        <is>
          <t>tblChange</t>
        </is>
      </c>
      <c r="C132" s="109" t="inlineStr">
        <is>
          <t>Change Description</t>
        </is>
      </c>
      <c r="D132" s="110" t="inlineStr">
        <is>
          <t>wrap</t>
        </is>
      </c>
      <c r="E132" s="111" t="inlineStr">
        <is>
          <t>Input</t>
        </is>
      </c>
      <c r="F132" s="111" t="inlineStr"/>
      <c r="G132" s="111" t="inlineStr">
        <is>
          <t>What is changing</t>
        </is>
      </c>
    </row>
    <row r="133" ht="15" customHeight="1">
      <c r="A133" s="26" t="inlineStr">
        <is>
          <t>10_CHANGE_CONTROL</t>
        </is>
      </c>
      <c r="B133" s="26" t="inlineStr">
        <is>
          <t>tblChange</t>
        </is>
      </c>
      <c r="C133" s="109" t="inlineStr">
        <is>
          <t>Reason</t>
        </is>
      </c>
      <c r="D133" s="110" t="inlineStr">
        <is>
          <t>wrap</t>
        </is>
      </c>
      <c r="E133" s="111" t="inlineStr">
        <is>
          <t>Input</t>
        </is>
      </c>
      <c r="F133" s="111" t="inlineStr"/>
      <c r="G133" s="111" t="inlineStr">
        <is>
          <t>Why the change is needed</t>
        </is>
      </c>
    </row>
    <row r="134" ht="15" customHeight="1">
      <c r="A134" s="26" t="inlineStr">
        <is>
          <t>10_CHANGE_CONTROL</t>
        </is>
      </c>
      <c r="B134" s="26" t="inlineStr">
        <is>
          <t>tblChange</t>
        </is>
      </c>
      <c r="C134" s="109" t="inlineStr">
        <is>
          <t>Scope Impact</t>
        </is>
      </c>
      <c r="D134" s="110" t="inlineStr">
        <is>
          <t>text</t>
        </is>
      </c>
      <c r="E134" s="111" t="inlineStr">
        <is>
          <t>Drop-down</t>
        </is>
      </c>
      <c r="F134" s="111" t="inlineStr">
        <is>
          <t>L_HML</t>
        </is>
      </c>
      <c r="G134" s="111" t="inlineStr">
        <is>
          <t>Scope impact rating</t>
        </is>
      </c>
    </row>
    <row r="135" ht="15" customHeight="1">
      <c r="A135" s="26" t="inlineStr">
        <is>
          <t>10_CHANGE_CONTROL</t>
        </is>
      </c>
      <c r="B135" s="26" t="inlineStr">
        <is>
          <t>tblChange</t>
        </is>
      </c>
      <c r="C135" s="109" t="inlineStr">
        <is>
          <t>Schedule Impact (days)</t>
        </is>
      </c>
      <c r="D135" s="110" t="inlineStr">
        <is>
          <t>int</t>
        </is>
      </c>
      <c r="E135" s="111" t="inlineStr">
        <is>
          <t>Input</t>
        </is>
      </c>
      <c r="F135" s="111" t="inlineStr"/>
      <c r="G135" s="111" t="inlineStr">
        <is>
          <t>Schedule impact in days</t>
        </is>
      </c>
    </row>
    <row r="136" ht="15" customHeight="1">
      <c r="A136" s="26" t="inlineStr">
        <is>
          <t>10_CHANGE_CONTROL</t>
        </is>
      </c>
      <c r="B136" s="26" t="inlineStr">
        <is>
          <t>tblChange</t>
        </is>
      </c>
      <c r="C136" s="109" t="inlineStr">
        <is>
          <t>Cost Impact</t>
        </is>
      </c>
      <c r="D136" s="110" t="inlineStr">
        <is>
          <t>money</t>
        </is>
      </c>
      <c r="E136" s="111" t="inlineStr">
        <is>
          <t>Input</t>
        </is>
      </c>
      <c r="F136" s="111" t="inlineStr"/>
      <c r="G136" s="111" t="inlineStr">
        <is>
          <t>Cost impact amount</t>
        </is>
      </c>
    </row>
    <row r="137" ht="15" customHeight="1">
      <c r="A137" s="26" t="inlineStr">
        <is>
          <t>10_CHANGE_CONTROL</t>
        </is>
      </c>
      <c r="B137" s="26" t="inlineStr">
        <is>
          <t>tblChange</t>
        </is>
      </c>
      <c r="C137" s="109" t="inlineStr">
        <is>
          <t>Risk Impact</t>
        </is>
      </c>
      <c r="D137" s="110" t="inlineStr">
        <is>
          <t>text</t>
        </is>
      </c>
      <c r="E137" s="111" t="inlineStr">
        <is>
          <t>Drop-down</t>
        </is>
      </c>
      <c r="F137" s="111" t="inlineStr">
        <is>
          <t>L_HML</t>
        </is>
      </c>
      <c r="G137" s="111" t="inlineStr">
        <is>
          <t>Risk impact rating</t>
        </is>
      </c>
    </row>
    <row r="138" ht="15" customHeight="1">
      <c r="A138" s="26" t="inlineStr">
        <is>
          <t>10_CHANGE_CONTROL</t>
        </is>
      </c>
      <c r="B138" s="26" t="inlineStr">
        <is>
          <t>tblChange</t>
        </is>
      </c>
      <c r="C138" s="109" t="inlineStr">
        <is>
          <t>Priority</t>
        </is>
      </c>
      <c r="D138" s="110" t="inlineStr">
        <is>
          <t>text</t>
        </is>
      </c>
      <c r="E138" s="111" t="inlineStr">
        <is>
          <t>Drop-down</t>
        </is>
      </c>
      <c r="F138" s="111" t="inlineStr">
        <is>
          <t>L_Priority</t>
        </is>
      </c>
      <c r="G138" s="111" t="inlineStr">
        <is>
          <t>Change priority</t>
        </is>
      </c>
    </row>
    <row r="139" ht="15" customHeight="1">
      <c r="A139" s="26" t="inlineStr">
        <is>
          <t>10_CHANGE_CONTROL</t>
        </is>
      </c>
      <c r="B139" s="26" t="inlineStr">
        <is>
          <t>tblChange</t>
        </is>
      </c>
      <c r="C139" s="109" t="inlineStr">
        <is>
          <t>Impact Assessment</t>
        </is>
      </c>
      <c r="D139" s="110" t="inlineStr">
        <is>
          <t>wrap</t>
        </is>
      </c>
      <c r="E139" s="111" t="inlineStr">
        <is>
          <t>Input</t>
        </is>
      </c>
      <c r="F139" s="111" t="inlineStr"/>
      <c r="G139" s="111" t="inlineStr">
        <is>
          <t>Assessment outcome</t>
        </is>
      </c>
    </row>
    <row r="140" ht="15" customHeight="1">
      <c r="A140" s="26" t="inlineStr">
        <is>
          <t>10_CHANGE_CONTROL</t>
        </is>
      </c>
      <c r="B140" s="26" t="inlineStr">
        <is>
          <t>tblChange</t>
        </is>
      </c>
      <c r="C140" s="109" t="inlineStr">
        <is>
          <t>Recommendation</t>
        </is>
      </c>
      <c r="D140" s="110" t="inlineStr">
        <is>
          <t>wrap</t>
        </is>
      </c>
      <c r="E140" s="111" t="inlineStr">
        <is>
          <t>Input</t>
        </is>
      </c>
      <c r="F140" s="111" t="inlineStr"/>
      <c r="G140" s="111" t="inlineStr">
        <is>
          <t>PMO recommendation</t>
        </is>
      </c>
    </row>
    <row r="141" ht="15" customHeight="1">
      <c r="A141" s="26" t="inlineStr">
        <is>
          <t>10_CHANGE_CONTROL</t>
        </is>
      </c>
      <c r="B141" s="26" t="inlineStr">
        <is>
          <t>tblChange</t>
        </is>
      </c>
      <c r="C141" s="109" t="inlineStr">
        <is>
          <t>Approval Status</t>
        </is>
      </c>
      <c r="D141" s="110" t="inlineStr">
        <is>
          <t>text</t>
        </is>
      </c>
      <c r="E141" s="111" t="inlineStr">
        <is>
          <t>Drop-down</t>
        </is>
      </c>
      <c r="F141" s="111" t="inlineStr">
        <is>
          <t>L_ChangeStatus</t>
        </is>
      </c>
      <c r="G141" s="111" t="inlineStr">
        <is>
          <t>Pending / Approved / Rejected</t>
        </is>
      </c>
    </row>
    <row r="142" ht="15" customHeight="1">
      <c r="A142" s="26" t="inlineStr">
        <is>
          <t>10_CHANGE_CONTROL</t>
        </is>
      </c>
      <c r="B142" s="26" t="inlineStr">
        <is>
          <t>tblChange</t>
        </is>
      </c>
      <c r="C142" s="109" t="inlineStr">
        <is>
          <t>Approved By</t>
        </is>
      </c>
      <c r="D142" s="110" t="inlineStr">
        <is>
          <t>text</t>
        </is>
      </c>
      <c r="E142" s="111" t="inlineStr">
        <is>
          <t>Drop-down</t>
        </is>
      </c>
      <c r="F142" s="111" t="inlineStr">
        <is>
          <t>L_Owner</t>
        </is>
      </c>
      <c r="G142" s="111" t="inlineStr">
        <is>
          <t>Approver</t>
        </is>
      </c>
    </row>
    <row r="143" ht="15" customHeight="1">
      <c r="A143" s="26" t="inlineStr">
        <is>
          <t>10_CHANGE_CONTROL</t>
        </is>
      </c>
      <c r="B143" s="26" t="inlineStr">
        <is>
          <t>tblChange</t>
        </is>
      </c>
      <c r="C143" s="109" t="inlineStr">
        <is>
          <t>Approval Date</t>
        </is>
      </c>
      <c r="D143" s="110" t="inlineStr">
        <is>
          <t>date</t>
        </is>
      </c>
      <c r="E143" s="111" t="inlineStr">
        <is>
          <t>Input</t>
        </is>
      </c>
      <c r="F143" s="111" t="inlineStr"/>
      <c r="G143" s="111" t="inlineStr">
        <is>
          <t>Date of decision</t>
        </is>
      </c>
    </row>
    <row r="144" ht="15" customHeight="1">
      <c r="A144" s="26" t="inlineStr">
        <is>
          <t>10_CHANGE_CONTROL</t>
        </is>
      </c>
      <c r="B144" s="26" t="inlineStr">
        <is>
          <t>tblChange</t>
        </is>
      </c>
      <c r="C144" s="109" t="inlineStr">
        <is>
          <t>Implementation Status</t>
        </is>
      </c>
      <c r="D144" s="110" t="inlineStr">
        <is>
          <t>text</t>
        </is>
      </c>
      <c r="E144" s="111" t="inlineStr">
        <is>
          <t>Drop-down</t>
        </is>
      </c>
      <c r="F144" s="111" t="inlineStr">
        <is>
          <t>L_ImplStatus</t>
        </is>
      </c>
      <c r="G144" s="111" t="inlineStr">
        <is>
          <t>Delivery of the change</t>
        </is>
      </c>
    </row>
    <row r="145" ht="15" customHeight="1">
      <c r="A145" s="26" t="inlineStr">
        <is>
          <t>10_CHANGE_CONTROL</t>
        </is>
      </c>
      <c r="B145" s="26" t="inlineStr">
        <is>
          <t>tblChange</t>
        </is>
      </c>
      <c r="C145" s="109" t="inlineStr">
        <is>
          <t>Compliance Check</t>
        </is>
      </c>
      <c r="D145" s="110" t="inlineStr">
        <is>
          <t>text</t>
        </is>
      </c>
      <c r="E145" s="111" t="inlineStr">
        <is>
          <t>Calculated</t>
        </is>
      </c>
      <c r="F145" s="111" t="inlineStr">
        <is>
          <t>Formula</t>
        </is>
      </c>
      <c r="G145" s="111" t="inlineStr">
        <is>
          <t>Automatic gate: implementation requires approval</t>
        </is>
      </c>
    </row>
    <row r="146" ht="15" customHeight="1">
      <c r="A146" s="26" t="inlineStr">
        <is>
          <t>10_CHANGE_CONTROL</t>
        </is>
      </c>
      <c r="B146" s="26" t="inlineStr">
        <is>
          <t>tblChange</t>
        </is>
      </c>
      <c r="C146" s="109" t="inlineStr">
        <is>
          <t>Notes</t>
        </is>
      </c>
      <c r="D146" s="110" t="inlineStr">
        <is>
          <t>wrap</t>
        </is>
      </c>
      <c r="E146" s="111" t="inlineStr">
        <is>
          <t>Input</t>
        </is>
      </c>
      <c r="F146" s="111" t="inlineStr"/>
      <c r="G146" s="111" t="inlineStr">
        <is>
          <t>Commentary</t>
        </is>
      </c>
    </row>
    <row r="147" ht="15" customHeight="1">
      <c r="A147" s="26" t="inlineStr">
        <is>
          <t>10_CHANGE_CONTROL</t>
        </is>
      </c>
      <c r="B147" s="26" t="inlineStr">
        <is>
          <t>tblChange</t>
        </is>
      </c>
      <c r="C147" s="109" t="inlineStr">
        <is>
          <t>PendingRank</t>
        </is>
      </c>
      <c r="D147" s="110" t="inlineStr">
        <is>
          <t>int</t>
        </is>
      </c>
      <c r="E147" s="111" t="inlineStr">
        <is>
          <t>Calculated</t>
        </is>
      </c>
      <c r="F147" s="111" t="inlineStr">
        <is>
          <t>Formula</t>
        </is>
      </c>
      <c r="G147" s="111" t="inlineStr">
        <is>
          <t>Helper: pending rank for dashboard</t>
        </is>
      </c>
    </row>
    <row r="148" ht="15" customHeight="1">
      <c r="A148" s="26" t="inlineStr">
        <is>
          <t>11_COST_MANAGEMENT</t>
        </is>
      </c>
      <c r="B148" s="26" t="inlineStr">
        <is>
          <t>tblCost</t>
        </is>
      </c>
      <c r="C148" s="109" t="inlineStr">
        <is>
          <t>Cost ID</t>
        </is>
      </c>
      <c r="D148" s="110" t="inlineStr">
        <is>
          <t>text</t>
        </is>
      </c>
      <c r="E148" s="111" t="inlineStr">
        <is>
          <t>Input</t>
        </is>
      </c>
      <c r="F148" s="111" t="inlineStr"/>
      <c r="G148" s="111" t="inlineStr">
        <is>
          <t>Cost line code</t>
        </is>
      </c>
    </row>
    <row r="149" ht="15" customHeight="1">
      <c r="A149" s="26" t="inlineStr">
        <is>
          <t>11_COST_MANAGEMENT</t>
        </is>
      </c>
      <c r="B149" s="26" t="inlineStr">
        <is>
          <t>tblCost</t>
        </is>
      </c>
      <c r="C149" s="109" t="inlineStr">
        <is>
          <t>Project</t>
        </is>
      </c>
      <c r="D149" s="110" t="inlineStr">
        <is>
          <t>text</t>
        </is>
      </c>
      <c r="E149" s="111" t="inlineStr">
        <is>
          <t>Drop-down</t>
        </is>
      </c>
      <c r="F149" s="111" t="inlineStr">
        <is>
          <t>L_Projects</t>
        </is>
      </c>
      <c r="G149" s="111" t="inlineStr">
        <is>
          <t>Owning project</t>
        </is>
      </c>
    </row>
    <row r="150" ht="15" customHeight="1">
      <c r="A150" s="26" t="inlineStr">
        <is>
          <t>11_COST_MANAGEMENT</t>
        </is>
      </c>
      <c r="B150" s="26" t="inlineStr">
        <is>
          <t>tblCost</t>
        </is>
      </c>
      <c r="C150" s="109" t="inlineStr">
        <is>
          <t>Cost Category</t>
        </is>
      </c>
      <c r="D150" s="110" t="inlineStr">
        <is>
          <t>text</t>
        </is>
      </c>
      <c r="E150" s="111" t="inlineStr">
        <is>
          <t>Drop-down</t>
        </is>
      </c>
      <c r="F150" s="111" t="inlineStr">
        <is>
          <t>L_CostCategory</t>
        </is>
      </c>
      <c r="G150" s="111" t="inlineStr">
        <is>
          <t>Cost category</t>
        </is>
      </c>
    </row>
    <row r="151" ht="15" customHeight="1">
      <c r="A151" s="26" t="inlineStr">
        <is>
          <t>11_COST_MANAGEMENT</t>
        </is>
      </c>
      <c r="B151" s="26" t="inlineStr">
        <is>
          <t>tblCost</t>
        </is>
      </c>
      <c r="C151" s="109" t="inlineStr">
        <is>
          <t>Owner</t>
        </is>
      </c>
      <c r="D151" s="110" t="inlineStr">
        <is>
          <t>text</t>
        </is>
      </c>
      <c r="E151" s="111" t="inlineStr">
        <is>
          <t>Drop-down</t>
        </is>
      </c>
      <c r="F151" s="111" t="inlineStr">
        <is>
          <t>L_Owner</t>
        </is>
      </c>
      <c r="G151" s="111" t="inlineStr">
        <is>
          <t>Cost owner</t>
        </is>
      </c>
    </row>
    <row r="152" ht="15" customHeight="1">
      <c r="A152" s="26" t="inlineStr">
        <is>
          <t>11_COST_MANAGEMENT</t>
        </is>
      </c>
      <c r="B152" s="26" t="inlineStr">
        <is>
          <t>tblCost</t>
        </is>
      </c>
      <c r="C152" s="109" t="inlineStr">
        <is>
          <t>Total Approved Amount</t>
        </is>
      </c>
      <c r="D152" s="110" t="inlineStr">
        <is>
          <t>money</t>
        </is>
      </c>
      <c r="E152" s="111" t="inlineStr">
        <is>
          <t>Input</t>
        </is>
      </c>
      <c r="F152" s="111" t="inlineStr"/>
      <c r="G152" s="111" t="inlineStr">
        <is>
          <t>Approved amount for this line</t>
        </is>
      </c>
    </row>
    <row r="153" ht="15" customHeight="1">
      <c r="A153" s="26" t="inlineStr">
        <is>
          <t>11_COST_MANAGEMENT</t>
        </is>
      </c>
      <c r="B153" s="26" t="inlineStr">
        <is>
          <t>tblCost</t>
        </is>
      </c>
      <c r="C153" s="109" t="inlineStr">
        <is>
          <t>Committed Cost</t>
        </is>
      </c>
      <c r="D153" s="110" t="inlineStr">
        <is>
          <t>money</t>
        </is>
      </c>
      <c r="E153" s="111" t="inlineStr">
        <is>
          <t>Input</t>
        </is>
      </c>
      <c r="F153" s="111" t="inlineStr"/>
      <c r="G153" s="111" t="inlineStr">
        <is>
          <t>Committed / ordered</t>
        </is>
      </c>
    </row>
    <row r="154" ht="15" customHeight="1">
      <c r="A154" s="26" t="inlineStr">
        <is>
          <t>11_COST_MANAGEMENT</t>
        </is>
      </c>
      <c r="B154" s="26" t="inlineStr">
        <is>
          <t>tblCost</t>
        </is>
      </c>
      <c r="C154" s="109" t="inlineStr">
        <is>
          <t>Actual Cost</t>
        </is>
      </c>
      <c r="D154" s="110" t="inlineStr">
        <is>
          <t>money</t>
        </is>
      </c>
      <c r="E154" s="111" t="inlineStr">
        <is>
          <t>Input</t>
        </is>
      </c>
      <c r="F154" s="111" t="inlineStr"/>
      <c r="G154" s="111" t="inlineStr">
        <is>
          <t>Spent to date</t>
        </is>
      </c>
    </row>
    <row r="155" ht="15" customHeight="1">
      <c r="A155" s="26" t="inlineStr">
        <is>
          <t>11_COST_MANAGEMENT</t>
        </is>
      </c>
      <c r="B155" s="26" t="inlineStr">
        <is>
          <t>tblCost</t>
        </is>
      </c>
      <c r="C155" s="109" t="inlineStr">
        <is>
          <t>Forecast Cost</t>
        </is>
      </c>
      <c r="D155" s="110" t="inlineStr">
        <is>
          <t>money</t>
        </is>
      </c>
      <c r="E155" s="111" t="inlineStr">
        <is>
          <t>Input</t>
        </is>
      </c>
      <c r="F155" s="111" t="inlineStr"/>
      <c r="G155" s="111" t="inlineStr">
        <is>
          <t>Expected at completion</t>
        </is>
      </c>
    </row>
    <row r="156" ht="15" customHeight="1">
      <c r="A156" s="26" t="inlineStr">
        <is>
          <t>11_COST_MANAGEMENT</t>
        </is>
      </c>
      <c r="B156" s="26" t="inlineStr">
        <is>
          <t>tblCost</t>
        </is>
      </c>
      <c r="C156" s="109" t="inlineStr">
        <is>
          <t>Budget Variance</t>
        </is>
      </c>
      <c r="D156" s="110" t="inlineStr">
        <is>
          <t>money</t>
        </is>
      </c>
      <c r="E156" s="111" t="inlineStr">
        <is>
          <t>Calculated</t>
        </is>
      </c>
      <c r="F156" s="111" t="inlineStr">
        <is>
          <t>Formula</t>
        </is>
      </c>
      <c r="G156" s="111" t="inlineStr">
        <is>
          <t>Approved minus actual</t>
        </is>
      </c>
    </row>
    <row r="157" ht="15" customHeight="1">
      <c r="A157" s="26" t="inlineStr">
        <is>
          <t>11_COST_MANAGEMENT</t>
        </is>
      </c>
      <c r="B157" s="26" t="inlineStr">
        <is>
          <t>tblCost</t>
        </is>
      </c>
      <c r="C157" s="109" t="inlineStr">
        <is>
          <t>Forecast Variance</t>
        </is>
      </c>
      <c r="D157" s="110" t="inlineStr">
        <is>
          <t>money</t>
        </is>
      </c>
      <c r="E157" s="111" t="inlineStr">
        <is>
          <t>Calculated</t>
        </is>
      </c>
      <c r="F157" s="111" t="inlineStr">
        <is>
          <t>Formula</t>
        </is>
      </c>
      <c r="G157" s="111" t="inlineStr">
        <is>
          <t>Approved minus forecast</t>
        </is>
      </c>
    </row>
    <row r="158" ht="15" customHeight="1">
      <c r="A158" s="26" t="inlineStr">
        <is>
          <t>11_COST_MANAGEMENT</t>
        </is>
      </c>
      <c r="B158" s="26" t="inlineStr">
        <is>
          <t>tblCost</t>
        </is>
      </c>
      <c r="C158" s="109" t="inlineStr">
        <is>
          <t>Cost Utilisation %</t>
        </is>
      </c>
      <c r="D158" s="110" t="inlineStr">
        <is>
          <t>pct</t>
        </is>
      </c>
      <c r="E158" s="111" t="inlineStr">
        <is>
          <t>Calculated</t>
        </is>
      </c>
      <c r="F158" s="111" t="inlineStr">
        <is>
          <t>Formula</t>
        </is>
      </c>
      <c r="G158" s="111" t="inlineStr">
        <is>
          <t>Actual divided by approved</t>
        </is>
      </c>
    </row>
    <row r="159" ht="15" customHeight="1">
      <c r="A159" s="26" t="inlineStr">
        <is>
          <t>11_COST_MANAGEMENT</t>
        </is>
      </c>
      <c r="B159" s="26" t="inlineStr">
        <is>
          <t>tblCost</t>
        </is>
      </c>
      <c r="C159" s="109" t="inlineStr">
        <is>
          <t>Cost Status</t>
        </is>
      </c>
      <c r="D159" s="110" t="inlineStr">
        <is>
          <t>text</t>
        </is>
      </c>
      <c r="E159" s="111" t="inlineStr">
        <is>
          <t>Calculated</t>
        </is>
      </c>
      <c r="F159" s="111" t="inlineStr">
        <is>
          <t>Formula</t>
        </is>
      </c>
      <c r="G159" s="111" t="inlineStr">
        <is>
          <t>Automatic cost flag</t>
        </is>
      </c>
    </row>
    <row r="160" ht="15" customHeight="1">
      <c r="A160" s="26" t="inlineStr">
        <is>
          <t>11_COST_MANAGEMENT</t>
        </is>
      </c>
      <c r="B160" s="26" t="inlineStr">
        <is>
          <t>tblCost</t>
        </is>
      </c>
      <c r="C160" s="109" t="inlineStr">
        <is>
          <t>Notes</t>
        </is>
      </c>
      <c r="D160" s="110" t="inlineStr">
        <is>
          <t>wrap</t>
        </is>
      </c>
      <c r="E160" s="111" t="inlineStr">
        <is>
          <t>Input</t>
        </is>
      </c>
      <c r="F160" s="111" t="inlineStr"/>
      <c r="G160" s="111" t="inlineStr">
        <is>
          <t>Commentary</t>
        </is>
      </c>
    </row>
    <row r="161" ht="15" customHeight="1">
      <c r="A161" s="26" t="inlineStr">
        <is>
          <t>12_RESOURCE_MANAGEMENT</t>
        </is>
      </c>
      <c r="B161" s="26" t="inlineStr">
        <is>
          <t>tblResources</t>
        </is>
      </c>
      <c r="C161" s="109" t="inlineStr">
        <is>
          <t>Resource ID</t>
        </is>
      </c>
      <c r="D161" s="110" t="inlineStr">
        <is>
          <t>text</t>
        </is>
      </c>
      <c r="E161" s="111" t="inlineStr">
        <is>
          <t>Input</t>
        </is>
      </c>
      <c r="F161" s="111" t="inlineStr"/>
      <c r="G161" s="111" t="inlineStr">
        <is>
          <t>Allocation line code</t>
        </is>
      </c>
    </row>
    <row r="162" ht="15" customHeight="1">
      <c r="A162" s="26" t="inlineStr">
        <is>
          <t>12_RESOURCE_MANAGEMENT</t>
        </is>
      </c>
      <c r="B162" s="26" t="inlineStr">
        <is>
          <t>tblResources</t>
        </is>
      </c>
      <c r="C162" s="109" t="inlineStr">
        <is>
          <t>Resource</t>
        </is>
      </c>
      <c r="D162" s="110" t="inlineStr">
        <is>
          <t>text</t>
        </is>
      </c>
      <c r="E162" s="111" t="inlineStr">
        <is>
          <t>Input</t>
        </is>
      </c>
      <c r="F162" s="111" t="inlineStr"/>
      <c r="G162" s="111" t="inlineStr">
        <is>
          <t>Person or team</t>
        </is>
      </c>
    </row>
    <row r="163" ht="15" customHeight="1">
      <c r="A163" s="26" t="inlineStr">
        <is>
          <t>12_RESOURCE_MANAGEMENT</t>
        </is>
      </c>
      <c r="B163" s="26" t="inlineStr">
        <is>
          <t>tblResources</t>
        </is>
      </c>
      <c r="C163" s="109" t="inlineStr">
        <is>
          <t>Department</t>
        </is>
      </c>
      <c r="D163" s="110" t="inlineStr">
        <is>
          <t>text</t>
        </is>
      </c>
      <c r="E163" s="111" t="inlineStr">
        <is>
          <t>Drop-down</t>
        </is>
      </c>
      <c r="F163" s="111" t="inlineStr">
        <is>
          <t>L_Dept</t>
        </is>
      </c>
      <c r="G163" s="111" t="inlineStr">
        <is>
          <t>Department</t>
        </is>
      </c>
    </row>
    <row r="164" ht="15" customHeight="1">
      <c r="A164" s="26" t="inlineStr">
        <is>
          <t>12_RESOURCE_MANAGEMENT</t>
        </is>
      </c>
      <c r="B164" s="26" t="inlineStr">
        <is>
          <t>tblResources</t>
        </is>
      </c>
      <c r="C164" s="109" t="inlineStr">
        <is>
          <t>Role</t>
        </is>
      </c>
      <c r="D164" s="110" t="inlineStr">
        <is>
          <t>text</t>
        </is>
      </c>
      <c r="E164" s="111" t="inlineStr">
        <is>
          <t>Input</t>
        </is>
      </c>
      <c r="F164" s="111" t="inlineStr"/>
      <c r="G164" s="111" t="inlineStr">
        <is>
          <t>Role on the project</t>
        </is>
      </c>
    </row>
    <row r="165" ht="15" customHeight="1">
      <c r="A165" s="26" t="inlineStr">
        <is>
          <t>12_RESOURCE_MANAGEMENT</t>
        </is>
      </c>
      <c r="B165" s="26" t="inlineStr">
        <is>
          <t>tblResources</t>
        </is>
      </c>
      <c r="C165" s="109" t="inlineStr">
        <is>
          <t>Project</t>
        </is>
      </c>
      <c r="D165" s="110" t="inlineStr">
        <is>
          <t>text</t>
        </is>
      </c>
      <c r="E165" s="111" t="inlineStr">
        <is>
          <t>Drop-down</t>
        </is>
      </c>
      <c r="F165" s="111" t="inlineStr">
        <is>
          <t>L_Projects</t>
        </is>
      </c>
      <c r="G165" s="111" t="inlineStr">
        <is>
          <t>Project</t>
        </is>
      </c>
    </row>
    <row r="166" ht="15" customHeight="1">
      <c r="A166" s="26" t="inlineStr">
        <is>
          <t>12_RESOURCE_MANAGEMENT</t>
        </is>
      </c>
      <c r="B166" s="26" t="inlineStr">
        <is>
          <t>tblResources</t>
        </is>
      </c>
      <c r="C166" s="109" t="inlineStr">
        <is>
          <t>Allocation %</t>
        </is>
      </c>
      <c r="D166" s="110" t="inlineStr">
        <is>
          <t>pct</t>
        </is>
      </c>
      <c r="E166" s="111" t="inlineStr">
        <is>
          <t>Input</t>
        </is>
      </c>
      <c r="F166" s="111" t="inlineStr"/>
      <c r="G166" s="111" t="inlineStr">
        <is>
          <t>Share of time allocated</t>
        </is>
      </c>
    </row>
    <row r="167" ht="15" customHeight="1">
      <c r="A167" s="26" t="inlineStr">
        <is>
          <t>12_RESOURCE_MANAGEMENT</t>
        </is>
      </c>
      <c r="B167" s="26" t="inlineStr">
        <is>
          <t>tblResources</t>
        </is>
      </c>
      <c r="C167" s="109" t="inlineStr">
        <is>
          <t>Start Date</t>
        </is>
      </c>
      <c r="D167" s="110" t="inlineStr">
        <is>
          <t>date</t>
        </is>
      </c>
      <c r="E167" s="111" t="inlineStr">
        <is>
          <t>Input</t>
        </is>
      </c>
      <c r="F167" s="111" t="inlineStr"/>
      <c r="G167" s="111" t="inlineStr">
        <is>
          <t>Allocation start</t>
        </is>
      </c>
    </row>
    <row r="168" ht="15" customHeight="1">
      <c r="A168" s="26" t="inlineStr">
        <is>
          <t>12_RESOURCE_MANAGEMENT</t>
        </is>
      </c>
      <c r="B168" s="26" t="inlineStr">
        <is>
          <t>tblResources</t>
        </is>
      </c>
      <c r="C168" s="109" t="inlineStr">
        <is>
          <t>End Date</t>
        </is>
      </c>
      <c r="D168" s="110" t="inlineStr">
        <is>
          <t>date</t>
        </is>
      </c>
      <c r="E168" s="111" t="inlineStr">
        <is>
          <t>Input</t>
        </is>
      </c>
      <c r="F168" s="111" t="inlineStr"/>
      <c r="G168" s="111" t="inlineStr">
        <is>
          <t>Allocation end</t>
        </is>
      </c>
    </row>
    <row r="169" ht="15" customHeight="1">
      <c r="A169" s="26" t="inlineStr">
        <is>
          <t>12_RESOURCE_MANAGEMENT</t>
        </is>
      </c>
      <c r="B169" s="26" t="inlineStr">
        <is>
          <t>tblResources</t>
        </is>
      </c>
      <c r="C169" s="109" t="inlineStr">
        <is>
          <t>Availability %</t>
        </is>
      </c>
      <c r="D169" s="110" t="inlineStr">
        <is>
          <t>pct</t>
        </is>
      </c>
      <c r="E169" s="111" t="inlineStr">
        <is>
          <t>Input</t>
        </is>
      </c>
      <c r="F169" s="111" t="inlineStr"/>
      <c r="G169" s="111" t="inlineStr">
        <is>
          <t>Available capacity</t>
        </is>
      </c>
    </row>
    <row r="170" ht="15" customHeight="1">
      <c r="A170" s="26" t="inlineStr">
        <is>
          <t>12_RESOURCE_MANAGEMENT</t>
        </is>
      </c>
      <c r="B170" s="26" t="inlineStr">
        <is>
          <t>tblResources</t>
        </is>
      </c>
      <c r="C170" s="109" t="inlineStr">
        <is>
          <t>Utilisation %</t>
        </is>
      </c>
      <c r="D170" s="110" t="inlineStr">
        <is>
          <t>pct</t>
        </is>
      </c>
      <c r="E170" s="111" t="inlineStr">
        <is>
          <t>Calculated</t>
        </is>
      </c>
      <c r="F170" s="111" t="inlineStr">
        <is>
          <t>Formula</t>
        </is>
      </c>
      <c r="G170" s="111" t="inlineStr">
        <is>
          <t>Total allocation of this person (auto)</t>
        </is>
      </c>
    </row>
    <row r="171" ht="15" customHeight="1">
      <c r="A171" s="26" t="inlineStr">
        <is>
          <t>12_RESOURCE_MANAGEMENT</t>
        </is>
      </c>
      <c r="B171" s="26" t="inlineStr">
        <is>
          <t>tblResources</t>
        </is>
      </c>
      <c r="C171" s="109" t="inlineStr">
        <is>
          <t>Status</t>
        </is>
      </c>
      <c r="D171" s="110" t="inlineStr">
        <is>
          <t>text</t>
        </is>
      </c>
      <c r="E171" s="111" t="inlineStr">
        <is>
          <t>Calculated</t>
        </is>
      </c>
      <c r="F171" s="111" t="inlineStr">
        <is>
          <t>Formula</t>
        </is>
      </c>
      <c r="G171" s="111" t="inlineStr">
        <is>
          <t>Overloaded / At Capacity / Available (auto)</t>
        </is>
      </c>
    </row>
    <row r="172" ht="15" customHeight="1">
      <c r="A172" s="26" t="inlineStr">
        <is>
          <t>12_RESOURCE_MANAGEMENT</t>
        </is>
      </c>
      <c r="B172" s="26" t="inlineStr">
        <is>
          <t>tblResources</t>
        </is>
      </c>
      <c r="C172" s="109" t="inlineStr">
        <is>
          <t>Notes</t>
        </is>
      </c>
      <c r="D172" s="110" t="inlineStr">
        <is>
          <t>wrap</t>
        </is>
      </c>
      <c r="E172" s="111" t="inlineStr">
        <is>
          <t>Input</t>
        </is>
      </c>
      <c r="F172" s="111" t="inlineStr"/>
      <c r="G172" s="111" t="inlineStr">
        <is>
          <t>Commentary</t>
        </is>
      </c>
    </row>
    <row r="173" ht="15" customHeight="1">
      <c r="A173" s="26" t="inlineStr">
        <is>
          <t>13_PROCUREMENT</t>
        </is>
      </c>
      <c r="B173" s="26" t="inlineStr">
        <is>
          <t>tblProcurement</t>
        </is>
      </c>
      <c r="C173" s="109" t="inlineStr">
        <is>
          <t>Request ID</t>
        </is>
      </c>
      <c r="D173" s="110" t="inlineStr">
        <is>
          <t>text</t>
        </is>
      </c>
      <c r="E173" s="111" t="inlineStr">
        <is>
          <t>Input</t>
        </is>
      </c>
      <c r="F173" s="111" t="inlineStr"/>
      <c r="G173" s="111" t="inlineStr">
        <is>
          <t>Purchase request code</t>
        </is>
      </c>
    </row>
    <row r="174" ht="15" customHeight="1">
      <c r="A174" s="26" t="inlineStr">
        <is>
          <t>13_PROCUREMENT</t>
        </is>
      </c>
      <c r="B174" s="26" t="inlineStr">
        <is>
          <t>tblProcurement</t>
        </is>
      </c>
      <c r="C174" s="109" t="inlineStr">
        <is>
          <t>Project</t>
        </is>
      </c>
      <c r="D174" s="110" t="inlineStr">
        <is>
          <t>text</t>
        </is>
      </c>
      <c r="E174" s="111" t="inlineStr">
        <is>
          <t>Drop-down</t>
        </is>
      </c>
      <c r="F174" s="111" t="inlineStr">
        <is>
          <t>L_Projects</t>
        </is>
      </c>
      <c r="G174" s="111" t="inlineStr">
        <is>
          <t>Owning project</t>
        </is>
      </c>
    </row>
    <row r="175" ht="15" customHeight="1">
      <c r="A175" s="26" t="inlineStr">
        <is>
          <t>13_PROCUREMENT</t>
        </is>
      </c>
      <c r="B175" s="26" t="inlineStr">
        <is>
          <t>tblProcurement</t>
        </is>
      </c>
      <c r="C175" s="109" t="inlineStr">
        <is>
          <t>Item</t>
        </is>
      </c>
      <c r="D175" s="110" t="inlineStr">
        <is>
          <t>text</t>
        </is>
      </c>
      <c r="E175" s="111" t="inlineStr">
        <is>
          <t>Input</t>
        </is>
      </c>
      <c r="F175" s="111" t="inlineStr"/>
      <c r="G175" s="111" t="inlineStr">
        <is>
          <t>Item or service</t>
        </is>
      </c>
    </row>
    <row r="176" ht="15" customHeight="1">
      <c r="A176" s="26" t="inlineStr">
        <is>
          <t>13_PROCUREMENT</t>
        </is>
      </c>
      <c r="B176" s="26" t="inlineStr">
        <is>
          <t>tblProcurement</t>
        </is>
      </c>
      <c r="C176" s="109" t="inlineStr">
        <is>
          <t>Requester</t>
        </is>
      </c>
      <c r="D176" s="110" t="inlineStr">
        <is>
          <t>text</t>
        </is>
      </c>
      <c r="E176" s="111" t="inlineStr">
        <is>
          <t>Drop-down</t>
        </is>
      </c>
      <c r="F176" s="111" t="inlineStr">
        <is>
          <t>L_Owner</t>
        </is>
      </c>
      <c r="G176" s="111" t="inlineStr">
        <is>
          <t>Requester</t>
        </is>
      </c>
    </row>
    <row r="177" ht="15" customHeight="1">
      <c r="A177" s="26" t="inlineStr">
        <is>
          <t>13_PROCUREMENT</t>
        </is>
      </c>
      <c r="B177" s="26" t="inlineStr">
        <is>
          <t>tblProcurement</t>
        </is>
      </c>
      <c r="C177" s="109" t="inlineStr">
        <is>
          <t>Supplier</t>
        </is>
      </c>
      <c r="D177" s="110" t="inlineStr">
        <is>
          <t>text</t>
        </is>
      </c>
      <c r="E177" s="111" t="inlineStr">
        <is>
          <t>Input</t>
        </is>
      </c>
      <c r="F177" s="111" t="inlineStr"/>
      <c r="G177" s="111" t="inlineStr">
        <is>
          <t>Supplier</t>
        </is>
      </c>
    </row>
    <row r="178" ht="15" customHeight="1">
      <c r="A178" s="26" t="inlineStr">
        <is>
          <t>13_PROCUREMENT</t>
        </is>
      </c>
      <c r="B178" s="26" t="inlineStr">
        <is>
          <t>tblProcurement</t>
        </is>
      </c>
      <c r="C178" s="109" t="inlineStr">
        <is>
          <t>Quotation</t>
        </is>
      </c>
      <c r="D178" s="110" t="inlineStr">
        <is>
          <t>text</t>
        </is>
      </c>
      <c r="E178" s="111" t="inlineStr">
        <is>
          <t>Input</t>
        </is>
      </c>
      <c r="F178" s="111" t="inlineStr"/>
      <c r="G178" s="111" t="inlineStr">
        <is>
          <t>Quotation reference</t>
        </is>
      </c>
    </row>
    <row r="179" ht="15" customHeight="1">
      <c r="A179" s="26" t="inlineStr">
        <is>
          <t>13_PROCUREMENT</t>
        </is>
      </c>
      <c r="B179" s="26" t="inlineStr">
        <is>
          <t>tblProcurement</t>
        </is>
      </c>
      <c r="C179" s="109" t="inlineStr">
        <is>
          <t>PO No.</t>
        </is>
      </c>
      <c r="D179" s="110" t="inlineStr">
        <is>
          <t>text</t>
        </is>
      </c>
      <c r="E179" s="111" t="inlineStr">
        <is>
          <t>Input</t>
        </is>
      </c>
      <c r="F179" s="111" t="inlineStr"/>
      <c r="G179" s="111" t="inlineStr">
        <is>
          <t>Purchase order number</t>
        </is>
      </c>
    </row>
    <row r="180" ht="15" customHeight="1">
      <c r="A180" s="26" t="inlineStr">
        <is>
          <t>13_PROCUREMENT</t>
        </is>
      </c>
      <c r="B180" s="26" t="inlineStr">
        <is>
          <t>tblProcurement</t>
        </is>
      </c>
      <c r="C180" s="109" t="inlineStr">
        <is>
          <t>Total Approved Amount</t>
        </is>
      </c>
      <c r="D180" s="110" t="inlineStr">
        <is>
          <t>money</t>
        </is>
      </c>
      <c r="E180" s="111" t="inlineStr">
        <is>
          <t>Input</t>
        </is>
      </c>
      <c r="F180" s="111" t="inlineStr"/>
      <c r="G180" s="111" t="inlineStr">
        <is>
          <t>Approved amount for the item</t>
        </is>
      </c>
    </row>
    <row r="181" ht="15" customHeight="1">
      <c r="A181" s="26" t="inlineStr">
        <is>
          <t>13_PROCUREMENT</t>
        </is>
      </c>
      <c r="B181" s="26" t="inlineStr">
        <is>
          <t>tblProcurement</t>
        </is>
      </c>
      <c r="C181" s="109" t="inlineStr">
        <is>
          <t>Quoted Cost</t>
        </is>
      </c>
      <c r="D181" s="110" t="inlineStr">
        <is>
          <t>money</t>
        </is>
      </c>
      <c r="E181" s="111" t="inlineStr">
        <is>
          <t>Input</t>
        </is>
      </c>
      <c r="F181" s="111" t="inlineStr"/>
      <c r="G181" s="111" t="inlineStr">
        <is>
          <t>Supplier quotation</t>
        </is>
      </c>
    </row>
    <row r="182" ht="15" customHeight="1">
      <c r="A182" s="26" t="inlineStr">
        <is>
          <t>13_PROCUREMENT</t>
        </is>
      </c>
      <c r="B182" s="26" t="inlineStr">
        <is>
          <t>tblProcurement</t>
        </is>
      </c>
      <c r="C182" s="109" t="inlineStr">
        <is>
          <t>Approved Cost</t>
        </is>
      </c>
      <c r="D182" s="110" t="inlineStr">
        <is>
          <t>money</t>
        </is>
      </c>
      <c r="E182" s="111" t="inlineStr">
        <is>
          <t>Input</t>
        </is>
      </c>
      <c r="F182" s="111" t="inlineStr"/>
      <c r="G182" s="111" t="inlineStr">
        <is>
          <t>Cost approved for order</t>
        </is>
      </c>
    </row>
    <row r="183" ht="15" customHeight="1">
      <c r="A183" s="26" t="inlineStr">
        <is>
          <t>13_PROCUREMENT</t>
        </is>
      </c>
      <c r="B183" s="26" t="inlineStr">
        <is>
          <t>tblProcurement</t>
        </is>
      </c>
      <c r="C183" s="109" t="inlineStr">
        <is>
          <t>Order Date</t>
        </is>
      </c>
      <c r="D183" s="110" t="inlineStr">
        <is>
          <t>date</t>
        </is>
      </c>
      <c r="E183" s="111" t="inlineStr">
        <is>
          <t>Input</t>
        </is>
      </c>
      <c r="F183" s="111" t="inlineStr"/>
      <c r="G183" s="111" t="inlineStr">
        <is>
          <t>PO date</t>
        </is>
      </c>
    </row>
    <row r="184" ht="15" customHeight="1">
      <c r="A184" s="26" t="inlineStr">
        <is>
          <t>13_PROCUREMENT</t>
        </is>
      </c>
      <c r="B184" s="26" t="inlineStr">
        <is>
          <t>tblProcurement</t>
        </is>
      </c>
      <c r="C184" s="109" t="inlineStr">
        <is>
          <t>Expected Delivery</t>
        </is>
      </c>
      <c r="D184" s="110" t="inlineStr">
        <is>
          <t>date</t>
        </is>
      </c>
      <c r="E184" s="111" t="inlineStr">
        <is>
          <t>Input</t>
        </is>
      </c>
      <c r="F184" s="111" t="inlineStr"/>
      <c r="G184" s="111" t="inlineStr">
        <is>
          <t>Promised delivery</t>
        </is>
      </c>
    </row>
    <row r="185" ht="15" customHeight="1">
      <c r="A185" s="26" t="inlineStr">
        <is>
          <t>13_PROCUREMENT</t>
        </is>
      </c>
      <c r="B185" s="26" t="inlineStr">
        <is>
          <t>tblProcurement</t>
        </is>
      </c>
      <c r="C185" s="109" t="inlineStr">
        <is>
          <t>Actual Delivery</t>
        </is>
      </c>
      <c r="D185" s="110" t="inlineStr">
        <is>
          <t>date</t>
        </is>
      </c>
      <c r="E185" s="111" t="inlineStr">
        <is>
          <t>Input</t>
        </is>
      </c>
      <c r="F185" s="111" t="inlineStr"/>
      <c r="G185" s="111" t="inlineStr">
        <is>
          <t>Received date</t>
        </is>
      </c>
    </row>
    <row r="186" ht="15" customHeight="1">
      <c r="A186" s="26" t="inlineStr">
        <is>
          <t>13_PROCUREMENT</t>
        </is>
      </c>
      <c r="B186" s="26" t="inlineStr">
        <is>
          <t>tblProcurement</t>
        </is>
      </c>
      <c r="C186" s="109" t="inlineStr">
        <is>
          <t>Status</t>
        </is>
      </c>
      <c r="D186" s="110" t="inlineStr">
        <is>
          <t>text</t>
        </is>
      </c>
      <c r="E186" s="111" t="inlineStr">
        <is>
          <t>Drop-down</t>
        </is>
      </c>
      <c r="F186" s="111" t="inlineStr">
        <is>
          <t>L_ProcStatus</t>
        </is>
      </c>
      <c r="G186" s="111" t="inlineStr">
        <is>
          <t>Procurement status</t>
        </is>
      </c>
    </row>
    <row r="187" ht="15" customHeight="1">
      <c r="A187" s="26" t="inlineStr">
        <is>
          <t>13_PROCUREMENT</t>
        </is>
      </c>
      <c r="B187" s="26" t="inlineStr">
        <is>
          <t>tblProcurement</t>
        </is>
      </c>
      <c r="C187" s="109" t="inlineStr">
        <is>
          <t>Variance</t>
        </is>
      </c>
      <c r="D187" s="110" t="inlineStr">
        <is>
          <t>money</t>
        </is>
      </c>
      <c r="E187" s="111" t="inlineStr">
        <is>
          <t>Calculated</t>
        </is>
      </c>
      <c r="F187" s="111" t="inlineStr">
        <is>
          <t>Formula</t>
        </is>
      </c>
      <c r="G187" s="111" t="inlineStr">
        <is>
          <t>Approved amount minus approved cost</t>
        </is>
      </c>
    </row>
    <row r="188" ht="15" customHeight="1">
      <c r="A188" s="26" t="inlineStr">
        <is>
          <t>13_PROCUREMENT</t>
        </is>
      </c>
      <c r="B188" s="26" t="inlineStr">
        <is>
          <t>tblProcurement</t>
        </is>
      </c>
      <c r="C188" s="109" t="inlineStr">
        <is>
          <t>Notes</t>
        </is>
      </c>
      <c r="D188" s="110" t="inlineStr">
        <is>
          <t>wrap</t>
        </is>
      </c>
      <c r="E188" s="111" t="inlineStr">
        <is>
          <t>Input</t>
        </is>
      </c>
      <c r="F188" s="111" t="inlineStr"/>
      <c r="G188" s="111" t="inlineStr">
        <is>
          <t>Commentary</t>
        </is>
      </c>
    </row>
    <row r="189" ht="15" customHeight="1">
      <c r="A189" s="26" t="inlineStr">
        <is>
          <t>14_QUALITY_CONTROL</t>
        </is>
      </c>
      <c r="B189" s="26" t="inlineStr">
        <is>
          <t>tblQuality</t>
        </is>
      </c>
      <c r="C189" s="109" t="inlineStr">
        <is>
          <t>QC ID</t>
        </is>
      </c>
      <c r="D189" s="110" t="inlineStr">
        <is>
          <t>text</t>
        </is>
      </c>
      <c r="E189" s="111" t="inlineStr">
        <is>
          <t>Input</t>
        </is>
      </c>
      <c r="F189" s="111" t="inlineStr"/>
      <c r="G189" s="111" t="inlineStr">
        <is>
          <t>Quality check code</t>
        </is>
      </c>
    </row>
    <row r="190" ht="15" customHeight="1">
      <c r="A190" s="26" t="inlineStr">
        <is>
          <t>14_QUALITY_CONTROL</t>
        </is>
      </c>
      <c r="B190" s="26" t="inlineStr">
        <is>
          <t>tblQuality</t>
        </is>
      </c>
      <c r="C190" s="109" t="inlineStr">
        <is>
          <t>Project</t>
        </is>
      </c>
      <c r="D190" s="110" t="inlineStr">
        <is>
          <t>text</t>
        </is>
      </c>
      <c r="E190" s="111" t="inlineStr">
        <is>
          <t>Drop-down</t>
        </is>
      </c>
      <c r="F190" s="111" t="inlineStr">
        <is>
          <t>L_Projects</t>
        </is>
      </c>
      <c r="G190" s="111" t="inlineStr">
        <is>
          <t>Owning project</t>
        </is>
      </c>
    </row>
    <row r="191" ht="15" customHeight="1">
      <c r="A191" s="26" t="inlineStr">
        <is>
          <t>14_QUALITY_CONTROL</t>
        </is>
      </c>
      <c r="B191" s="26" t="inlineStr">
        <is>
          <t>tblQuality</t>
        </is>
      </c>
      <c r="C191" s="109" t="inlineStr">
        <is>
          <t>Deliverable</t>
        </is>
      </c>
      <c r="D191" s="110" t="inlineStr">
        <is>
          <t>text</t>
        </is>
      </c>
      <c r="E191" s="111" t="inlineStr">
        <is>
          <t>Input</t>
        </is>
      </c>
      <c r="F191" s="111" t="inlineStr"/>
      <c r="G191" s="111" t="inlineStr">
        <is>
          <t>Deliverable under review</t>
        </is>
      </c>
    </row>
    <row r="192" ht="15" customHeight="1">
      <c r="A192" s="26" t="inlineStr">
        <is>
          <t>14_QUALITY_CONTROL</t>
        </is>
      </c>
      <c r="B192" s="26" t="inlineStr">
        <is>
          <t>tblQuality</t>
        </is>
      </c>
      <c r="C192" s="109" t="inlineStr">
        <is>
          <t>Quality Criteria</t>
        </is>
      </c>
      <c r="D192" s="110" t="inlineStr">
        <is>
          <t>wrap</t>
        </is>
      </c>
      <c r="E192" s="111" t="inlineStr">
        <is>
          <t>Input</t>
        </is>
      </c>
      <c r="F192" s="111" t="inlineStr"/>
      <c r="G192" s="111" t="inlineStr">
        <is>
          <t>Acceptance criteria</t>
        </is>
      </c>
    </row>
    <row r="193" ht="15" customHeight="1">
      <c r="A193" s="26" t="inlineStr">
        <is>
          <t>14_QUALITY_CONTROL</t>
        </is>
      </c>
      <c r="B193" s="26" t="inlineStr">
        <is>
          <t>tblQuality</t>
        </is>
      </c>
      <c r="C193" s="109" t="inlineStr">
        <is>
          <t>Owner</t>
        </is>
      </c>
      <c r="D193" s="110" t="inlineStr">
        <is>
          <t>text</t>
        </is>
      </c>
      <c r="E193" s="111" t="inlineStr">
        <is>
          <t>Drop-down</t>
        </is>
      </c>
      <c r="F193" s="111" t="inlineStr">
        <is>
          <t>L_Owner</t>
        </is>
      </c>
      <c r="G193" s="111" t="inlineStr">
        <is>
          <t>Reviewer</t>
        </is>
      </c>
    </row>
    <row r="194" ht="15" customHeight="1">
      <c r="A194" s="26" t="inlineStr">
        <is>
          <t>14_QUALITY_CONTROL</t>
        </is>
      </c>
      <c r="B194" s="26" t="inlineStr">
        <is>
          <t>tblQuality</t>
        </is>
      </c>
      <c r="C194" s="109" t="inlineStr">
        <is>
          <t>Planned Date</t>
        </is>
      </c>
      <c r="D194" s="110" t="inlineStr">
        <is>
          <t>date</t>
        </is>
      </c>
      <c r="E194" s="111" t="inlineStr">
        <is>
          <t>Input</t>
        </is>
      </c>
      <c r="F194" s="111" t="inlineStr"/>
      <c r="G194" s="111" t="inlineStr">
        <is>
          <t>Planned review date</t>
        </is>
      </c>
    </row>
    <row r="195" ht="15" customHeight="1">
      <c r="A195" s="26" t="inlineStr">
        <is>
          <t>14_QUALITY_CONTROL</t>
        </is>
      </c>
      <c r="B195" s="26" t="inlineStr">
        <is>
          <t>tblQuality</t>
        </is>
      </c>
      <c r="C195" s="109" t="inlineStr">
        <is>
          <t>Actual Date</t>
        </is>
      </c>
      <c r="D195" s="110" t="inlineStr">
        <is>
          <t>date</t>
        </is>
      </c>
      <c r="E195" s="111" t="inlineStr">
        <is>
          <t>Input</t>
        </is>
      </c>
      <c r="F195" s="111" t="inlineStr"/>
      <c r="G195" s="111" t="inlineStr">
        <is>
          <t>Actual review date</t>
        </is>
      </c>
    </row>
    <row r="196" ht="15" customHeight="1">
      <c r="A196" s="26" t="inlineStr">
        <is>
          <t>14_QUALITY_CONTROL</t>
        </is>
      </c>
      <c r="B196" s="26" t="inlineStr">
        <is>
          <t>tblQuality</t>
        </is>
      </c>
      <c r="C196" s="109" t="inlineStr">
        <is>
          <t>Result</t>
        </is>
      </c>
      <c r="D196" s="110" t="inlineStr">
        <is>
          <t>text</t>
        </is>
      </c>
      <c r="E196" s="111" t="inlineStr">
        <is>
          <t>Drop-down</t>
        </is>
      </c>
      <c r="F196" s="111" t="inlineStr">
        <is>
          <t>L_QualityResult</t>
        </is>
      </c>
      <c r="G196" s="111" t="inlineStr">
        <is>
          <t>Pass / Fail / Pending / Waived</t>
        </is>
      </c>
    </row>
    <row r="197" ht="15" customHeight="1">
      <c r="A197" s="26" t="inlineStr">
        <is>
          <t>14_QUALITY_CONTROL</t>
        </is>
      </c>
      <c r="B197" s="26" t="inlineStr">
        <is>
          <t>tblQuality</t>
        </is>
      </c>
      <c r="C197" s="109" t="inlineStr">
        <is>
          <t>Defects</t>
        </is>
      </c>
      <c r="D197" s="110" t="inlineStr">
        <is>
          <t>int</t>
        </is>
      </c>
      <c r="E197" s="111" t="inlineStr">
        <is>
          <t>Input</t>
        </is>
      </c>
      <c r="F197" s="111" t="inlineStr"/>
      <c r="G197" s="111" t="inlineStr">
        <is>
          <t>Number of defects found</t>
        </is>
      </c>
    </row>
    <row r="198" ht="15" customHeight="1">
      <c r="A198" s="26" t="inlineStr">
        <is>
          <t>14_QUALITY_CONTROL</t>
        </is>
      </c>
      <c r="B198" s="26" t="inlineStr">
        <is>
          <t>tblQuality</t>
        </is>
      </c>
      <c r="C198" s="109" t="inlineStr">
        <is>
          <t>Corrective Action</t>
        </is>
      </c>
      <c r="D198" s="110" t="inlineStr">
        <is>
          <t>wrap</t>
        </is>
      </c>
      <c r="E198" s="111" t="inlineStr">
        <is>
          <t>Input</t>
        </is>
      </c>
      <c r="F198" s="111" t="inlineStr"/>
      <c r="G198" s="111" t="inlineStr">
        <is>
          <t>Action to fix failures</t>
        </is>
      </c>
    </row>
    <row r="199" ht="15" customHeight="1">
      <c r="A199" s="26" t="inlineStr">
        <is>
          <t>14_QUALITY_CONTROL</t>
        </is>
      </c>
      <c r="B199" s="26" t="inlineStr">
        <is>
          <t>tblQuality</t>
        </is>
      </c>
      <c r="C199" s="109" t="inlineStr">
        <is>
          <t>Status</t>
        </is>
      </c>
      <c r="D199" s="110" t="inlineStr">
        <is>
          <t>text</t>
        </is>
      </c>
      <c r="E199" s="111" t="inlineStr">
        <is>
          <t>Drop-down</t>
        </is>
      </c>
      <c r="F199" s="111" t="inlineStr">
        <is>
          <t>L_TaskStatus</t>
        </is>
      </c>
      <c r="G199" s="111" t="inlineStr">
        <is>
          <t>Check status</t>
        </is>
      </c>
    </row>
    <row r="200" ht="15" customHeight="1">
      <c r="A200" s="26" t="inlineStr">
        <is>
          <t>14_QUALITY_CONTROL</t>
        </is>
      </c>
      <c r="B200" s="26" t="inlineStr">
        <is>
          <t>tblQuality</t>
        </is>
      </c>
      <c r="C200" s="109" t="inlineStr">
        <is>
          <t>Evidence</t>
        </is>
      </c>
      <c r="D200" s="110" t="inlineStr">
        <is>
          <t>text</t>
        </is>
      </c>
      <c r="E200" s="111" t="inlineStr">
        <is>
          <t>Input</t>
        </is>
      </c>
      <c r="F200" s="111" t="inlineStr"/>
      <c r="G200" s="111" t="inlineStr">
        <is>
          <t>Link or reference to evidence</t>
        </is>
      </c>
    </row>
    <row r="201" ht="15" customHeight="1">
      <c r="A201" s="26" t="inlineStr">
        <is>
          <t>14_QUALITY_CONTROL</t>
        </is>
      </c>
      <c r="B201" s="26" t="inlineStr">
        <is>
          <t>tblQuality</t>
        </is>
      </c>
      <c r="C201" s="109" t="inlineStr">
        <is>
          <t>Notes</t>
        </is>
      </c>
      <c r="D201" s="110" t="inlineStr">
        <is>
          <t>wrap</t>
        </is>
      </c>
      <c r="E201" s="111" t="inlineStr">
        <is>
          <t>Input</t>
        </is>
      </c>
      <c r="F201" s="111" t="inlineStr"/>
      <c r="G201" s="111" t="inlineStr">
        <is>
          <t>Commentary / SAMPLE marker</t>
        </is>
      </c>
    </row>
    <row r="202" ht="15" customHeight="1">
      <c r="A202" s="26" t="inlineStr">
        <is>
          <t>16_MEETING_MINUTES</t>
        </is>
      </c>
      <c r="B202" s="26" t="inlineStr">
        <is>
          <t>tblMeetings</t>
        </is>
      </c>
      <c r="C202" s="109" t="inlineStr">
        <is>
          <t>Meeting ID</t>
        </is>
      </c>
      <c r="D202" s="110" t="inlineStr">
        <is>
          <t>text</t>
        </is>
      </c>
      <c r="E202" s="111" t="inlineStr">
        <is>
          <t>Input</t>
        </is>
      </c>
      <c r="F202" s="111" t="inlineStr"/>
      <c r="G202" s="111" t="inlineStr">
        <is>
          <t>Meeting reference</t>
        </is>
      </c>
    </row>
    <row r="203" ht="15" customHeight="1">
      <c r="A203" s="26" t="inlineStr">
        <is>
          <t>16_MEETING_MINUTES</t>
        </is>
      </c>
      <c r="B203" s="26" t="inlineStr">
        <is>
          <t>tblMeetings</t>
        </is>
      </c>
      <c r="C203" s="109" t="inlineStr">
        <is>
          <t>Date</t>
        </is>
      </c>
      <c r="D203" s="110" t="inlineStr">
        <is>
          <t>date</t>
        </is>
      </c>
      <c r="E203" s="111" t="inlineStr">
        <is>
          <t>Input</t>
        </is>
      </c>
      <c r="F203" s="111" t="inlineStr"/>
      <c r="G203" s="111" t="inlineStr">
        <is>
          <t>Meeting date</t>
        </is>
      </c>
    </row>
    <row r="204" ht="15" customHeight="1">
      <c r="A204" s="26" t="inlineStr">
        <is>
          <t>16_MEETING_MINUTES</t>
        </is>
      </c>
      <c r="B204" s="26" t="inlineStr">
        <is>
          <t>tblMeetings</t>
        </is>
      </c>
      <c r="C204" s="109" t="inlineStr">
        <is>
          <t>Project</t>
        </is>
      </c>
      <c r="D204" s="110" t="inlineStr">
        <is>
          <t>text</t>
        </is>
      </c>
      <c r="E204" s="111" t="inlineStr">
        <is>
          <t>Drop-down</t>
        </is>
      </c>
      <c r="F204" s="111" t="inlineStr">
        <is>
          <t>L_Projects</t>
        </is>
      </c>
      <c r="G204" s="111" t="inlineStr">
        <is>
          <t>Project discussed</t>
        </is>
      </c>
    </row>
    <row r="205" ht="15" customHeight="1">
      <c r="A205" s="26" t="inlineStr">
        <is>
          <t>16_MEETING_MINUTES</t>
        </is>
      </c>
      <c r="B205" s="26" t="inlineStr">
        <is>
          <t>tblMeetings</t>
        </is>
      </c>
      <c r="C205" s="109" t="inlineStr">
        <is>
          <t>Meeting Type</t>
        </is>
      </c>
      <c r="D205" s="110" t="inlineStr">
        <is>
          <t>text</t>
        </is>
      </c>
      <c r="E205" s="111" t="inlineStr">
        <is>
          <t>Drop-down</t>
        </is>
      </c>
      <c r="F205" s="111" t="inlineStr">
        <is>
          <t>L_MeetingType</t>
        </is>
      </c>
      <c r="G205" s="111" t="inlineStr">
        <is>
          <t>Type of meeting</t>
        </is>
      </c>
    </row>
    <row r="206" ht="15" customHeight="1">
      <c r="A206" s="26" t="inlineStr">
        <is>
          <t>16_MEETING_MINUTES</t>
        </is>
      </c>
      <c r="B206" s="26" t="inlineStr">
        <is>
          <t>tblMeetings</t>
        </is>
      </c>
      <c r="C206" s="109" t="inlineStr">
        <is>
          <t>Chair</t>
        </is>
      </c>
      <c r="D206" s="110" t="inlineStr">
        <is>
          <t>text</t>
        </is>
      </c>
      <c r="E206" s="111" t="inlineStr">
        <is>
          <t>Drop-down</t>
        </is>
      </c>
      <c r="F206" s="111" t="inlineStr">
        <is>
          <t>L_Owner</t>
        </is>
      </c>
      <c r="G206" s="111" t="inlineStr">
        <is>
          <t>Chair</t>
        </is>
      </c>
    </row>
    <row r="207" ht="15" customHeight="1">
      <c r="A207" s="26" t="inlineStr">
        <is>
          <t>16_MEETING_MINUTES</t>
        </is>
      </c>
      <c r="B207" s="26" t="inlineStr">
        <is>
          <t>tblMeetings</t>
        </is>
      </c>
      <c r="C207" s="109" t="inlineStr">
        <is>
          <t>Attendees</t>
        </is>
      </c>
      <c r="D207" s="110" t="inlineStr">
        <is>
          <t>wrap</t>
        </is>
      </c>
      <c r="E207" s="111" t="inlineStr">
        <is>
          <t>Input</t>
        </is>
      </c>
      <c r="F207" s="111" t="inlineStr"/>
      <c r="G207" s="111" t="inlineStr">
        <is>
          <t>Who attended</t>
        </is>
      </c>
    </row>
    <row r="208" ht="15" customHeight="1">
      <c r="A208" s="26" t="inlineStr">
        <is>
          <t>16_MEETING_MINUTES</t>
        </is>
      </c>
      <c r="B208" s="26" t="inlineStr">
        <is>
          <t>tblMeetings</t>
        </is>
      </c>
      <c r="C208" s="109" t="inlineStr">
        <is>
          <t>Agenda</t>
        </is>
      </c>
      <c r="D208" s="110" t="inlineStr">
        <is>
          <t>wrap</t>
        </is>
      </c>
      <c r="E208" s="111" t="inlineStr">
        <is>
          <t>Input</t>
        </is>
      </c>
      <c r="F208" s="111" t="inlineStr"/>
      <c r="G208" s="111" t="inlineStr">
        <is>
          <t>Agenda items</t>
        </is>
      </c>
    </row>
    <row r="209" ht="15" customHeight="1">
      <c r="A209" s="26" t="inlineStr">
        <is>
          <t>16_MEETING_MINUTES</t>
        </is>
      </c>
      <c r="B209" s="26" t="inlineStr">
        <is>
          <t>tblMeetings</t>
        </is>
      </c>
      <c r="C209" s="109" t="inlineStr">
        <is>
          <t>Discussion</t>
        </is>
      </c>
      <c r="D209" s="110" t="inlineStr">
        <is>
          <t>wrap</t>
        </is>
      </c>
      <c r="E209" s="111" t="inlineStr">
        <is>
          <t>Input</t>
        </is>
      </c>
      <c r="F209" s="111" t="inlineStr"/>
      <c r="G209" s="111" t="inlineStr">
        <is>
          <t>What was discussed</t>
        </is>
      </c>
    </row>
    <row r="210" ht="15" customHeight="1">
      <c r="A210" s="26" t="inlineStr">
        <is>
          <t>16_MEETING_MINUTES</t>
        </is>
      </c>
      <c r="B210" s="26" t="inlineStr">
        <is>
          <t>tblMeetings</t>
        </is>
      </c>
      <c r="C210" s="109" t="inlineStr">
        <is>
          <t>Decision</t>
        </is>
      </c>
      <c r="D210" s="110" t="inlineStr">
        <is>
          <t>wrap</t>
        </is>
      </c>
      <c r="E210" s="111" t="inlineStr">
        <is>
          <t>Input</t>
        </is>
      </c>
      <c r="F210" s="111" t="inlineStr"/>
      <c r="G210" s="111" t="inlineStr">
        <is>
          <t>Decision taken</t>
        </is>
      </c>
    </row>
    <row r="211" ht="15" customHeight="1">
      <c r="A211" s="26" t="inlineStr">
        <is>
          <t>16_MEETING_MINUTES</t>
        </is>
      </c>
      <c r="B211" s="26" t="inlineStr">
        <is>
          <t>tblMeetings</t>
        </is>
      </c>
      <c r="C211" s="109" t="inlineStr">
        <is>
          <t>Action</t>
        </is>
      </c>
      <c r="D211" s="110" t="inlineStr">
        <is>
          <t>wrap</t>
        </is>
      </c>
      <c r="E211" s="111" t="inlineStr">
        <is>
          <t>Input</t>
        </is>
      </c>
      <c r="F211" s="111" t="inlineStr"/>
      <c r="G211" s="111" t="inlineStr">
        <is>
          <t>Action raised</t>
        </is>
      </c>
    </row>
    <row r="212" ht="15" customHeight="1">
      <c r="A212" s="26" t="inlineStr">
        <is>
          <t>16_MEETING_MINUTES</t>
        </is>
      </c>
      <c r="B212" s="26" t="inlineStr">
        <is>
          <t>tblMeetings</t>
        </is>
      </c>
      <c r="C212" s="109" t="inlineStr">
        <is>
          <t>Owner</t>
        </is>
      </c>
      <c r="D212" s="110" t="inlineStr">
        <is>
          <t>text</t>
        </is>
      </c>
      <c r="E212" s="111" t="inlineStr">
        <is>
          <t>Drop-down</t>
        </is>
      </c>
      <c r="F212" s="111" t="inlineStr">
        <is>
          <t>L_Owner</t>
        </is>
      </c>
      <c r="G212" s="111" t="inlineStr">
        <is>
          <t>Action owner</t>
        </is>
      </c>
    </row>
    <row r="213" ht="15" customHeight="1">
      <c r="A213" s="26" t="inlineStr">
        <is>
          <t>16_MEETING_MINUTES</t>
        </is>
      </c>
      <c r="B213" s="26" t="inlineStr">
        <is>
          <t>tblMeetings</t>
        </is>
      </c>
      <c r="C213" s="109" t="inlineStr">
        <is>
          <t>Due Date</t>
        </is>
      </c>
      <c r="D213" s="110" t="inlineStr">
        <is>
          <t>date</t>
        </is>
      </c>
      <c r="E213" s="111" t="inlineStr">
        <is>
          <t>Input</t>
        </is>
      </c>
      <c r="F213" s="111" t="inlineStr"/>
      <c r="G213" s="111" t="inlineStr">
        <is>
          <t>Action due date</t>
        </is>
      </c>
    </row>
    <row r="214" ht="15" customHeight="1">
      <c r="A214" s="26" t="inlineStr">
        <is>
          <t>16_MEETING_MINUTES</t>
        </is>
      </c>
      <c r="B214" s="26" t="inlineStr">
        <is>
          <t>tblMeetings</t>
        </is>
      </c>
      <c r="C214" s="109" t="inlineStr">
        <is>
          <t>Status</t>
        </is>
      </c>
      <c r="D214" s="110" t="inlineStr">
        <is>
          <t>text</t>
        </is>
      </c>
      <c r="E214" s="111" t="inlineStr">
        <is>
          <t>Drop-down</t>
        </is>
      </c>
      <c r="F214" s="111" t="inlineStr">
        <is>
          <t>L_ActionStatus</t>
        </is>
      </c>
      <c r="G214" s="111" t="inlineStr">
        <is>
          <t>Action status</t>
        </is>
      </c>
    </row>
    <row r="215" ht="15" customHeight="1">
      <c r="A215" s="26" t="inlineStr">
        <is>
          <t>16_MEETING_MINUTES</t>
        </is>
      </c>
      <c r="B215" s="26" t="inlineStr">
        <is>
          <t>tblMeetings</t>
        </is>
      </c>
      <c r="C215" s="109" t="inlineStr">
        <is>
          <t>Notes</t>
        </is>
      </c>
      <c r="D215" s="110" t="inlineStr">
        <is>
          <t>wrap</t>
        </is>
      </c>
      <c r="E215" s="111" t="inlineStr">
        <is>
          <t>Input</t>
        </is>
      </c>
      <c r="F215" s="111" t="inlineStr"/>
      <c r="G215" s="111" t="inlineStr">
        <is>
          <t>Commentary / SAMPLE marker</t>
        </is>
      </c>
    </row>
    <row r="216" ht="15" customHeight="1">
      <c r="A216" s="26" t="inlineStr">
        <is>
          <t>17_DECISION_LOG</t>
        </is>
      </c>
      <c r="B216" s="26" t="inlineStr">
        <is>
          <t>tblDecisions</t>
        </is>
      </c>
      <c r="C216" s="109" t="inlineStr">
        <is>
          <t>Decision ID</t>
        </is>
      </c>
      <c r="D216" s="110" t="inlineStr">
        <is>
          <t>text</t>
        </is>
      </c>
      <c r="E216" s="111" t="inlineStr">
        <is>
          <t>Input</t>
        </is>
      </c>
      <c r="F216" s="111" t="inlineStr"/>
      <c r="G216" s="111" t="inlineStr">
        <is>
          <t>Decision reference</t>
        </is>
      </c>
    </row>
    <row r="217" ht="15" customHeight="1">
      <c r="A217" s="26" t="inlineStr">
        <is>
          <t>17_DECISION_LOG</t>
        </is>
      </c>
      <c r="B217" s="26" t="inlineStr">
        <is>
          <t>tblDecisions</t>
        </is>
      </c>
      <c r="C217" s="109" t="inlineStr">
        <is>
          <t>Project</t>
        </is>
      </c>
      <c r="D217" s="110" t="inlineStr">
        <is>
          <t>text</t>
        </is>
      </c>
      <c r="E217" s="111" t="inlineStr">
        <is>
          <t>Drop-down</t>
        </is>
      </c>
      <c r="F217" s="111" t="inlineStr">
        <is>
          <t>L_Projects</t>
        </is>
      </c>
      <c r="G217" s="111" t="inlineStr">
        <is>
          <t>Owning project</t>
        </is>
      </c>
    </row>
    <row r="218" ht="15" customHeight="1">
      <c r="A218" s="26" t="inlineStr">
        <is>
          <t>17_DECISION_LOG</t>
        </is>
      </c>
      <c r="B218" s="26" t="inlineStr">
        <is>
          <t>tblDecisions</t>
        </is>
      </c>
      <c r="C218" s="109" t="inlineStr">
        <is>
          <t>Decision Date</t>
        </is>
      </c>
      <c r="D218" s="110" t="inlineStr">
        <is>
          <t>date</t>
        </is>
      </c>
      <c r="E218" s="111" t="inlineStr">
        <is>
          <t>Input</t>
        </is>
      </c>
      <c r="F218" s="111" t="inlineStr"/>
      <c r="G218" s="111" t="inlineStr">
        <is>
          <t>Date decision was taken</t>
        </is>
      </c>
    </row>
    <row r="219" ht="15" customHeight="1">
      <c r="A219" s="26" t="inlineStr">
        <is>
          <t>17_DECISION_LOG</t>
        </is>
      </c>
      <c r="B219" s="26" t="inlineStr">
        <is>
          <t>tblDecisions</t>
        </is>
      </c>
      <c r="C219" s="109" t="inlineStr">
        <is>
          <t>Decision Required</t>
        </is>
      </c>
      <c r="D219" s="110" t="inlineStr">
        <is>
          <t>wrap</t>
        </is>
      </c>
      <c r="E219" s="111" t="inlineStr">
        <is>
          <t>Input</t>
        </is>
      </c>
      <c r="F219" s="111" t="inlineStr"/>
      <c r="G219" s="111" t="inlineStr">
        <is>
          <t>The decision needed</t>
        </is>
      </c>
    </row>
    <row r="220" ht="15" customHeight="1">
      <c r="A220" s="26" t="inlineStr">
        <is>
          <t>17_DECISION_LOG</t>
        </is>
      </c>
      <c r="B220" s="26" t="inlineStr">
        <is>
          <t>tblDecisions</t>
        </is>
      </c>
      <c r="C220" s="109" t="inlineStr">
        <is>
          <t>Options</t>
        </is>
      </c>
      <c r="D220" s="110" t="inlineStr">
        <is>
          <t>wrap</t>
        </is>
      </c>
      <c r="E220" s="111" t="inlineStr">
        <is>
          <t>Input</t>
        </is>
      </c>
      <c r="F220" s="111" t="inlineStr"/>
      <c r="G220" s="111" t="inlineStr">
        <is>
          <t>Options considered</t>
        </is>
      </c>
    </row>
    <row r="221" ht="15" customHeight="1">
      <c r="A221" s="26" t="inlineStr">
        <is>
          <t>17_DECISION_LOG</t>
        </is>
      </c>
      <c r="B221" s="26" t="inlineStr">
        <is>
          <t>tblDecisions</t>
        </is>
      </c>
      <c r="C221" s="109" t="inlineStr">
        <is>
          <t>Recommendation</t>
        </is>
      </c>
      <c r="D221" s="110" t="inlineStr">
        <is>
          <t>wrap</t>
        </is>
      </c>
      <c r="E221" s="111" t="inlineStr">
        <is>
          <t>Input</t>
        </is>
      </c>
      <c r="F221" s="111" t="inlineStr"/>
      <c r="G221" s="111" t="inlineStr">
        <is>
          <t>PMO recommendation</t>
        </is>
      </c>
    </row>
    <row r="222" ht="15" customHeight="1">
      <c r="A222" s="26" t="inlineStr">
        <is>
          <t>17_DECISION_LOG</t>
        </is>
      </c>
      <c r="B222" s="26" t="inlineStr">
        <is>
          <t>tblDecisions</t>
        </is>
      </c>
      <c r="C222" s="109" t="inlineStr">
        <is>
          <t>Decision</t>
        </is>
      </c>
      <c r="D222" s="110" t="inlineStr">
        <is>
          <t>wrap</t>
        </is>
      </c>
      <c r="E222" s="111" t="inlineStr">
        <is>
          <t>Input</t>
        </is>
      </c>
      <c r="F222" s="111" t="inlineStr"/>
      <c r="G222" s="111" t="inlineStr">
        <is>
          <t>Final decision</t>
        </is>
      </c>
    </row>
    <row r="223" ht="15" customHeight="1">
      <c r="A223" s="26" t="inlineStr">
        <is>
          <t>17_DECISION_LOG</t>
        </is>
      </c>
      <c r="B223" s="26" t="inlineStr">
        <is>
          <t>tblDecisions</t>
        </is>
      </c>
      <c r="C223" s="109" t="inlineStr">
        <is>
          <t>Decision Maker</t>
        </is>
      </c>
      <c r="D223" s="110" t="inlineStr">
        <is>
          <t>text</t>
        </is>
      </c>
      <c r="E223" s="111" t="inlineStr">
        <is>
          <t>Drop-down</t>
        </is>
      </c>
      <c r="F223" s="111" t="inlineStr">
        <is>
          <t>L_Owner</t>
        </is>
      </c>
      <c r="G223" s="111" t="inlineStr">
        <is>
          <t>Who decides</t>
        </is>
      </c>
    </row>
    <row r="224" ht="15" customHeight="1">
      <c r="A224" s="26" t="inlineStr">
        <is>
          <t>17_DECISION_LOG</t>
        </is>
      </c>
      <c r="B224" s="26" t="inlineStr">
        <is>
          <t>tblDecisions</t>
        </is>
      </c>
      <c r="C224" s="109" t="inlineStr">
        <is>
          <t>Impact</t>
        </is>
      </c>
      <c r="D224" s="110" t="inlineStr">
        <is>
          <t>wrap</t>
        </is>
      </c>
      <c r="E224" s="111" t="inlineStr">
        <is>
          <t>Input</t>
        </is>
      </c>
      <c r="F224" s="111" t="inlineStr"/>
      <c r="G224" s="111" t="inlineStr">
        <is>
          <t>Impact if decided</t>
        </is>
      </c>
    </row>
    <row r="225" ht="15" customHeight="1">
      <c r="A225" s="26" t="inlineStr">
        <is>
          <t>17_DECISION_LOG</t>
        </is>
      </c>
      <c r="B225" s="26" t="inlineStr">
        <is>
          <t>tblDecisions</t>
        </is>
      </c>
      <c r="C225" s="109" t="inlineStr">
        <is>
          <t>Follow-up Owner</t>
        </is>
      </c>
      <c r="D225" s="110" t="inlineStr">
        <is>
          <t>text</t>
        </is>
      </c>
      <c r="E225" s="111" t="inlineStr">
        <is>
          <t>Drop-down</t>
        </is>
      </c>
      <c r="F225" s="111" t="inlineStr">
        <is>
          <t>L_Owner</t>
        </is>
      </c>
      <c r="G225" s="111" t="inlineStr">
        <is>
          <t>Who follows up</t>
        </is>
      </c>
    </row>
    <row r="226" ht="15" customHeight="1">
      <c r="A226" s="26" t="inlineStr">
        <is>
          <t>17_DECISION_LOG</t>
        </is>
      </c>
      <c r="B226" s="26" t="inlineStr">
        <is>
          <t>tblDecisions</t>
        </is>
      </c>
      <c r="C226" s="109" t="inlineStr">
        <is>
          <t>Due Date</t>
        </is>
      </c>
      <c r="D226" s="110" t="inlineStr">
        <is>
          <t>date</t>
        </is>
      </c>
      <c r="E226" s="111" t="inlineStr">
        <is>
          <t>Input</t>
        </is>
      </c>
      <c r="F226" s="111" t="inlineStr"/>
      <c r="G226" s="111" t="inlineStr">
        <is>
          <t>Decision required by</t>
        </is>
      </c>
    </row>
    <row r="227" ht="15" customHeight="1">
      <c r="A227" s="26" t="inlineStr">
        <is>
          <t>17_DECISION_LOG</t>
        </is>
      </c>
      <c r="B227" s="26" t="inlineStr">
        <is>
          <t>tblDecisions</t>
        </is>
      </c>
      <c r="C227" s="109" t="inlineStr">
        <is>
          <t>Status</t>
        </is>
      </c>
      <c r="D227" s="110" t="inlineStr">
        <is>
          <t>text</t>
        </is>
      </c>
      <c r="E227" s="111" t="inlineStr">
        <is>
          <t>Drop-down</t>
        </is>
      </c>
      <c r="F227" s="111" t="inlineStr">
        <is>
          <t>L_DecisionStatus</t>
        </is>
      </c>
      <c r="G227" s="111" t="inlineStr">
        <is>
          <t>Pending / Decided / Deferred / Rejected</t>
        </is>
      </c>
    </row>
    <row r="228" ht="15" customHeight="1">
      <c r="A228" s="26" t="inlineStr">
        <is>
          <t>17_DECISION_LOG</t>
        </is>
      </c>
      <c r="B228" s="26" t="inlineStr">
        <is>
          <t>tblDecisions</t>
        </is>
      </c>
      <c r="C228" s="109" t="inlineStr">
        <is>
          <t>Notes</t>
        </is>
      </c>
      <c r="D228" s="110" t="inlineStr">
        <is>
          <t>wrap</t>
        </is>
      </c>
      <c r="E228" s="111" t="inlineStr">
        <is>
          <t>Input</t>
        </is>
      </c>
      <c r="F228" s="111" t="inlineStr"/>
      <c r="G228" s="111" t="inlineStr">
        <is>
          <t>Commentary / SAMPLE marker</t>
        </is>
      </c>
    </row>
    <row r="229" ht="15" customHeight="1">
      <c r="A229" s="26" t="inlineStr">
        <is>
          <t>17_DECISION_LOG</t>
        </is>
      </c>
      <c r="B229" s="26" t="inlineStr">
        <is>
          <t>tblDecisions</t>
        </is>
      </c>
      <c r="C229" s="109" t="inlineStr">
        <is>
          <t>PendingRank</t>
        </is>
      </c>
      <c r="D229" s="110" t="inlineStr">
        <is>
          <t>int</t>
        </is>
      </c>
      <c r="E229" s="111" t="inlineStr">
        <is>
          <t>Calculated</t>
        </is>
      </c>
      <c r="F229" s="111" t="inlineStr">
        <is>
          <t>Formula</t>
        </is>
      </c>
      <c r="G229" s="111" t="inlineStr">
        <is>
          <t>Helper: pending rank for dashboard</t>
        </is>
      </c>
    </row>
    <row r="230" ht="15" customHeight="1">
      <c r="A230" s="26" t="inlineStr">
        <is>
          <t>18_COMMUNICATION_PLAN</t>
        </is>
      </c>
      <c r="B230" s="26" t="inlineStr">
        <is>
          <t>tblCommPlan</t>
        </is>
      </c>
      <c r="C230" s="109" t="inlineStr">
        <is>
          <t>Comm ID</t>
        </is>
      </c>
      <c r="D230" s="110" t="inlineStr">
        <is>
          <t>text</t>
        </is>
      </c>
      <c r="E230" s="111" t="inlineStr">
        <is>
          <t>Input</t>
        </is>
      </c>
      <c r="F230" s="111" t="inlineStr"/>
      <c r="G230" s="111" t="inlineStr">
        <is>
          <t>Communication reference</t>
        </is>
      </c>
    </row>
    <row r="231" ht="15" customHeight="1">
      <c r="A231" s="26" t="inlineStr">
        <is>
          <t>18_COMMUNICATION_PLAN</t>
        </is>
      </c>
      <c r="B231" s="26" t="inlineStr">
        <is>
          <t>tblCommPlan</t>
        </is>
      </c>
      <c r="C231" s="109" t="inlineStr">
        <is>
          <t>Audience</t>
        </is>
      </c>
      <c r="D231" s="110" t="inlineStr">
        <is>
          <t>text</t>
        </is>
      </c>
      <c r="E231" s="111" t="inlineStr">
        <is>
          <t>Input</t>
        </is>
      </c>
      <c r="F231" s="111" t="inlineStr"/>
      <c r="G231" s="111" t="inlineStr">
        <is>
          <t>Who receives the information</t>
        </is>
      </c>
    </row>
    <row r="232" ht="15" customHeight="1">
      <c r="A232" s="26" t="inlineStr">
        <is>
          <t>18_COMMUNICATION_PLAN</t>
        </is>
      </c>
      <c r="B232" s="26" t="inlineStr">
        <is>
          <t>tblCommPlan</t>
        </is>
      </c>
      <c r="C232" s="109" t="inlineStr">
        <is>
          <t>Information</t>
        </is>
      </c>
      <c r="D232" s="110" t="inlineStr">
        <is>
          <t>wrap</t>
        </is>
      </c>
      <c r="E232" s="111" t="inlineStr">
        <is>
          <t>Input</t>
        </is>
      </c>
      <c r="F232" s="111" t="inlineStr"/>
      <c r="G232" s="111" t="inlineStr">
        <is>
          <t>What is communicated</t>
        </is>
      </c>
    </row>
    <row r="233" ht="15" customHeight="1">
      <c r="A233" s="26" t="inlineStr">
        <is>
          <t>18_COMMUNICATION_PLAN</t>
        </is>
      </c>
      <c r="B233" s="26" t="inlineStr">
        <is>
          <t>tblCommPlan</t>
        </is>
      </c>
      <c r="C233" s="109" t="inlineStr">
        <is>
          <t>Owner</t>
        </is>
      </c>
      <c r="D233" s="110" t="inlineStr">
        <is>
          <t>text</t>
        </is>
      </c>
      <c r="E233" s="111" t="inlineStr">
        <is>
          <t>Drop-down</t>
        </is>
      </c>
      <c r="F233" s="111" t="inlineStr">
        <is>
          <t>L_Owner</t>
        </is>
      </c>
      <c r="G233" s="111" t="inlineStr">
        <is>
          <t>Who sends it</t>
        </is>
      </c>
    </row>
    <row r="234" ht="15" customHeight="1">
      <c r="A234" s="26" t="inlineStr">
        <is>
          <t>18_COMMUNICATION_PLAN</t>
        </is>
      </c>
      <c r="B234" s="26" t="inlineStr">
        <is>
          <t>tblCommPlan</t>
        </is>
      </c>
      <c r="C234" s="109" t="inlineStr">
        <is>
          <t>Frequency</t>
        </is>
      </c>
      <c r="D234" s="110" t="inlineStr">
        <is>
          <t>text</t>
        </is>
      </c>
      <c r="E234" s="111" t="inlineStr">
        <is>
          <t>Drop-down</t>
        </is>
      </c>
      <c r="F234" s="111" t="inlineStr">
        <is>
          <t>L_Frequency</t>
        </is>
      </c>
      <c r="G234" s="111" t="inlineStr">
        <is>
          <t>How often</t>
        </is>
      </c>
    </row>
    <row r="235" ht="15" customHeight="1">
      <c r="A235" s="26" t="inlineStr">
        <is>
          <t>18_COMMUNICATION_PLAN</t>
        </is>
      </c>
      <c r="B235" s="26" t="inlineStr">
        <is>
          <t>tblCommPlan</t>
        </is>
      </c>
      <c r="C235" s="109" t="inlineStr">
        <is>
          <t>Format</t>
        </is>
      </c>
      <c r="D235" s="110" t="inlineStr">
        <is>
          <t>text</t>
        </is>
      </c>
      <c r="E235" s="111" t="inlineStr">
        <is>
          <t>Drop-down</t>
        </is>
      </c>
      <c r="F235" s="111" t="inlineStr">
        <is>
          <t>L_Format</t>
        </is>
      </c>
      <c r="G235" s="111" t="inlineStr">
        <is>
          <t>Format of the message</t>
        </is>
      </c>
    </row>
    <row r="236" ht="15" customHeight="1">
      <c r="A236" s="26" t="inlineStr">
        <is>
          <t>18_COMMUNICATION_PLAN</t>
        </is>
      </c>
      <c r="B236" s="26" t="inlineStr">
        <is>
          <t>tblCommPlan</t>
        </is>
      </c>
      <c r="C236" s="109" t="inlineStr">
        <is>
          <t>Channel</t>
        </is>
      </c>
      <c r="D236" s="110" t="inlineStr">
        <is>
          <t>text</t>
        </is>
      </c>
      <c r="E236" s="111" t="inlineStr">
        <is>
          <t>Drop-down</t>
        </is>
      </c>
      <c r="F236" s="111" t="inlineStr">
        <is>
          <t>L_Channel</t>
        </is>
      </c>
      <c r="G236" s="111" t="inlineStr">
        <is>
          <t>Channel used</t>
        </is>
      </c>
    </row>
    <row r="237" ht="15" customHeight="1">
      <c r="A237" s="26" t="inlineStr">
        <is>
          <t>18_COMMUNICATION_PLAN</t>
        </is>
      </c>
      <c r="B237" s="26" t="inlineStr">
        <is>
          <t>tblCommPlan</t>
        </is>
      </c>
      <c r="C237" s="109" t="inlineStr">
        <is>
          <t>Timing</t>
        </is>
      </c>
      <c r="D237" s="110" t="inlineStr">
        <is>
          <t>text</t>
        </is>
      </c>
      <c r="E237" s="111" t="inlineStr">
        <is>
          <t>Input</t>
        </is>
      </c>
      <c r="F237" s="111" t="inlineStr"/>
      <c r="G237" s="111" t="inlineStr">
        <is>
          <t>When it is sent</t>
        </is>
      </c>
    </row>
    <row r="238" ht="15" customHeight="1">
      <c r="A238" s="26" t="inlineStr">
        <is>
          <t>18_COMMUNICATION_PLAN</t>
        </is>
      </c>
      <c r="B238" s="26" t="inlineStr">
        <is>
          <t>tblCommPlan</t>
        </is>
      </c>
      <c r="C238" s="109" t="inlineStr">
        <is>
          <t>Purpose</t>
        </is>
      </c>
      <c r="D238" s="110" t="inlineStr">
        <is>
          <t>wrap</t>
        </is>
      </c>
      <c r="E238" s="111" t="inlineStr">
        <is>
          <t>Input</t>
        </is>
      </c>
      <c r="F238" s="111" t="inlineStr"/>
      <c r="G238" s="111" t="inlineStr">
        <is>
          <t>Why it is sent</t>
        </is>
      </c>
    </row>
    <row r="239" ht="15" customHeight="1">
      <c r="A239" s="26" t="inlineStr">
        <is>
          <t>18_COMMUNICATION_PLAN</t>
        </is>
      </c>
      <c r="B239" s="26" t="inlineStr">
        <is>
          <t>tblCommPlan</t>
        </is>
      </c>
      <c r="C239" s="109" t="inlineStr">
        <is>
          <t>Escalation Path</t>
        </is>
      </c>
      <c r="D239" s="110" t="inlineStr">
        <is>
          <t>text</t>
        </is>
      </c>
      <c r="E239" s="111" t="inlineStr">
        <is>
          <t>Input</t>
        </is>
      </c>
      <c r="F239" s="111" t="inlineStr"/>
      <c r="G239" s="111" t="inlineStr">
        <is>
          <t>Where it goes if not delivered</t>
        </is>
      </c>
    </row>
    <row r="240" ht="15" customHeight="1">
      <c r="A240" s="26" t="inlineStr">
        <is>
          <t>18_COMMUNICATION_PLAN</t>
        </is>
      </c>
      <c r="B240" s="26" t="inlineStr">
        <is>
          <t>tblCommPlan</t>
        </is>
      </c>
      <c r="C240" s="109" t="inlineStr">
        <is>
          <t>Notes</t>
        </is>
      </c>
      <c r="D240" s="110" t="inlineStr">
        <is>
          <t>wrap</t>
        </is>
      </c>
      <c r="E240" s="111" t="inlineStr">
        <is>
          <t>Input</t>
        </is>
      </c>
      <c r="F240" s="111" t="inlineStr"/>
      <c r="G240" s="111" t="inlineStr">
        <is>
          <t>Commentary / SAMPLE marker</t>
        </is>
      </c>
    </row>
    <row r="241" ht="15" customHeight="1">
      <c r="A241" s="26" t="inlineStr">
        <is>
          <t>19_PROJECT_CLOSURE</t>
        </is>
      </c>
      <c r="B241" s="26" t="inlineStr">
        <is>
          <t>tblClosure</t>
        </is>
      </c>
      <c r="C241" s="109" t="inlineStr">
        <is>
          <t>Item ID</t>
        </is>
      </c>
      <c r="D241" s="110" t="inlineStr">
        <is>
          <t>text</t>
        </is>
      </c>
      <c r="E241" s="111" t="inlineStr">
        <is>
          <t>Input</t>
        </is>
      </c>
      <c r="F241" s="111" t="inlineStr"/>
      <c r="G241" s="111" t="inlineStr">
        <is>
          <t>Checklist line code</t>
        </is>
      </c>
    </row>
    <row r="242" ht="15" customHeight="1">
      <c r="A242" s="26" t="inlineStr">
        <is>
          <t>19_PROJECT_CLOSURE</t>
        </is>
      </c>
      <c r="B242" s="26" t="inlineStr">
        <is>
          <t>tblClosure</t>
        </is>
      </c>
      <c r="C242" s="109" t="inlineStr">
        <is>
          <t>Project</t>
        </is>
      </c>
      <c r="D242" s="110" t="inlineStr">
        <is>
          <t>text</t>
        </is>
      </c>
      <c r="E242" s="111" t="inlineStr">
        <is>
          <t>Drop-down</t>
        </is>
      </c>
      <c r="F242" s="111" t="inlineStr">
        <is>
          <t>L_Projects</t>
        </is>
      </c>
      <c r="G242" s="111" t="inlineStr">
        <is>
          <t>Project being closed</t>
        </is>
      </c>
    </row>
    <row r="243" ht="15" customHeight="1">
      <c r="A243" s="26" t="inlineStr">
        <is>
          <t>19_PROJECT_CLOSURE</t>
        </is>
      </c>
      <c r="B243" s="26" t="inlineStr">
        <is>
          <t>tblClosure</t>
        </is>
      </c>
      <c r="C243" s="109" t="inlineStr">
        <is>
          <t>Closure Item</t>
        </is>
      </c>
      <c r="D243" s="110" t="inlineStr">
        <is>
          <t>text</t>
        </is>
      </c>
      <c r="E243" s="111" t="inlineStr">
        <is>
          <t>Input</t>
        </is>
      </c>
      <c r="F243" s="111" t="inlineStr"/>
      <c r="G243" s="111" t="inlineStr">
        <is>
          <t>What must be completed</t>
        </is>
      </c>
    </row>
    <row r="244" ht="15" customHeight="1">
      <c r="A244" s="26" t="inlineStr">
        <is>
          <t>19_PROJECT_CLOSURE</t>
        </is>
      </c>
      <c r="B244" s="26" t="inlineStr">
        <is>
          <t>tblClosure</t>
        </is>
      </c>
      <c r="C244" s="109" t="inlineStr">
        <is>
          <t>Owner</t>
        </is>
      </c>
      <c r="D244" s="110" t="inlineStr">
        <is>
          <t>text</t>
        </is>
      </c>
      <c r="E244" s="111" t="inlineStr">
        <is>
          <t>Drop-down</t>
        </is>
      </c>
      <c r="F244" s="111" t="inlineStr">
        <is>
          <t>L_Owner</t>
        </is>
      </c>
      <c r="G244" s="111" t="inlineStr">
        <is>
          <t>Accountable owner</t>
        </is>
      </c>
    </row>
    <row r="245" ht="15" customHeight="1">
      <c r="A245" s="26" t="inlineStr">
        <is>
          <t>19_PROJECT_CLOSURE</t>
        </is>
      </c>
      <c r="B245" s="26" t="inlineStr">
        <is>
          <t>tblClosure</t>
        </is>
      </c>
      <c r="C245" s="109" t="inlineStr">
        <is>
          <t>Due Date</t>
        </is>
      </c>
      <c r="D245" s="110" t="inlineStr">
        <is>
          <t>date</t>
        </is>
      </c>
      <c r="E245" s="111" t="inlineStr">
        <is>
          <t>Input</t>
        </is>
      </c>
      <c r="F245" s="111" t="inlineStr"/>
      <c r="G245" s="111" t="inlineStr">
        <is>
          <t>Due date</t>
        </is>
      </c>
    </row>
    <row r="246" ht="15" customHeight="1">
      <c r="A246" s="26" t="inlineStr">
        <is>
          <t>19_PROJECT_CLOSURE</t>
        </is>
      </c>
      <c r="B246" s="26" t="inlineStr">
        <is>
          <t>tblClosure</t>
        </is>
      </c>
      <c r="C246" s="109" t="inlineStr">
        <is>
          <t>Status</t>
        </is>
      </c>
      <c r="D246" s="110" t="inlineStr">
        <is>
          <t>text</t>
        </is>
      </c>
      <c r="E246" s="111" t="inlineStr">
        <is>
          <t>Drop-down</t>
        </is>
      </c>
      <c r="F246" s="111" t="inlineStr">
        <is>
          <t>L_ClosureStatus</t>
        </is>
      </c>
      <c r="G246" s="111" t="inlineStr">
        <is>
          <t>Checklist status</t>
        </is>
      </c>
    </row>
    <row r="247" ht="15" customHeight="1">
      <c r="A247" s="26" t="inlineStr">
        <is>
          <t>19_PROJECT_CLOSURE</t>
        </is>
      </c>
      <c r="B247" s="26" t="inlineStr">
        <is>
          <t>tblClosure</t>
        </is>
      </c>
      <c r="C247" s="109" t="inlineStr">
        <is>
          <t>Evidence / Reference</t>
        </is>
      </c>
      <c r="D247" s="110" t="inlineStr">
        <is>
          <t>text</t>
        </is>
      </c>
      <c r="E247" s="111" t="inlineStr">
        <is>
          <t>Input</t>
        </is>
      </c>
      <c r="F247" s="111" t="inlineStr"/>
      <c r="G247" s="111" t="inlineStr">
        <is>
          <t>Proof of completion</t>
        </is>
      </c>
    </row>
    <row r="248" ht="15" customHeight="1">
      <c r="A248" s="26" t="inlineStr">
        <is>
          <t>19_PROJECT_CLOSURE</t>
        </is>
      </c>
      <c r="B248" s="26" t="inlineStr">
        <is>
          <t>tblClosure</t>
        </is>
      </c>
      <c r="C248" s="109" t="inlineStr">
        <is>
          <t>Date Completed</t>
        </is>
      </c>
      <c r="D248" s="110" t="inlineStr">
        <is>
          <t>date</t>
        </is>
      </c>
      <c r="E248" s="111" t="inlineStr">
        <is>
          <t>Input</t>
        </is>
      </c>
      <c r="F248" s="111" t="inlineStr"/>
      <c r="G248" s="111" t="inlineStr">
        <is>
          <t>Date completed</t>
        </is>
      </c>
    </row>
    <row r="249" ht="15" customHeight="1">
      <c r="A249" s="26" t="inlineStr">
        <is>
          <t>19_PROJECT_CLOSURE</t>
        </is>
      </c>
      <c r="B249" s="26" t="inlineStr">
        <is>
          <t>tblClosure</t>
        </is>
      </c>
      <c r="C249" s="109" t="inlineStr">
        <is>
          <t>Notes</t>
        </is>
      </c>
      <c r="D249" s="110" t="inlineStr">
        <is>
          <t>wrap</t>
        </is>
      </c>
      <c r="E249" s="111" t="inlineStr">
        <is>
          <t>Input</t>
        </is>
      </c>
      <c r="F249" s="111" t="inlineStr"/>
      <c r="G249" s="111" t="inlineStr">
        <is>
          <t>Commentary</t>
        </is>
      </c>
    </row>
    <row r="250" ht="15" customHeight="1">
      <c r="A250" s="26" t="inlineStr">
        <is>
          <t>20_LESSONS_LEARNED</t>
        </is>
      </c>
      <c r="B250" s="26" t="inlineStr">
        <is>
          <t>tblLessons</t>
        </is>
      </c>
      <c r="C250" s="109" t="inlineStr">
        <is>
          <t>Lesson ID</t>
        </is>
      </c>
      <c r="D250" s="110" t="inlineStr">
        <is>
          <t>text</t>
        </is>
      </c>
      <c r="E250" s="111" t="inlineStr">
        <is>
          <t>Input</t>
        </is>
      </c>
      <c r="F250" s="111" t="inlineStr"/>
      <c r="G250" s="111" t="inlineStr">
        <is>
          <t>Lesson reference</t>
        </is>
      </c>
    </row>
    <row r="251" ht="15" customHeight="1">
      <c r="A251" s="26" t="inlineStr">
        <is>
          <t>20_LESSONS_LEARNED</t>
        </is>
      </c>
      <c r="B251" s="26" t="inlineStr">
        <is>
          <t>tblLessons</t>
        </is>
      </c>
      <c r="C251" s="109" t="inlineStr">
        <is>
          <t>Project</t>
        </is>
      </c>
      <c r="D251" s="110" t="inlineStr">
        <is>
          <t>text</t>
        </is>
      </c>
      <c r="E251" s="111" t="inlineStr">
        <is>
          <t>Drop-down</t>
        </is>
      </c>
      <c r="F251" s="111" t="inlineStr">
        <is>
          <t>L_Projects</t>
        </is>
      </c>
      <c r="G251" s="111" t="inlineStr">
        <is>
          <t>Source project</t>
        </is>
      </c>
    </row>
    <row r="252" ht="15" customHeight="1">
      <c r="A252" s="26" t="inlineStr">
        <is>
          <t>20_LESSONS_LEARNED</t>
        </is>
      </c>
      <c r="B252" s="26" t="inlineStr">
        <is>
          <t>tblLessons</t>
        </is>
      </c>
      <c r="C252" s="109" t="inlineStr">
        <is>
          <t>Date</t>
        </is>
      </c>
      <c r="D252" s="110" t="inlineStr">
        <is>
          <t>date</t>
        </is>
      </c>
      <c r="E252" s="111" t="inlineStr">
        <is>
          <t>Input</t>
        </is>
      </c>
      <c r="F252" s="111" t="inlineStr"/>
      <c r="G252" s="111" t="inlineStr">
        <is>
          <t>Date captured</t>
        </is>
      </c>
    </row>
    <row r="253" ht="15" customHeight="1">
      <c r="A253" s="26" t="inlineStr">
        <is>
          <t>20_LESSONS_LEARNED</t>
        </is>
      </c>
      <c r="B253" s="26" t="inlineStr">
        <is>
          <t>tblLessons</t>
        </is>
      </c>
      <c r="C253" s="109" t="inlineStr">
        <is>
          <t>Area</t>
        </is>
      </c>
      <c r="D253" s="110" t="inlineStr">
        <is>
          <t>text</t>
        </is>
      </c>
      <c r="E253" s="111" t="inlineStr">
        <is>
          <t>Drop-down</t>
        </is>
      </c>
      <c r="F253" s="111" t="inlineStr">
        <is>
          <t>L_LessonArea</t>
        </is>
      </c>
      <c r="G253" s="111" t="inlineStr">
        <is>
          <t>Knowledge area</t>
        </is>
      </c>
    </row>
    <row r="254" ht="15" customHeight="1">
      <c r="A254" s="26" t="inlineStr">
        <is>
          <t>20_LESSONS_LEARNED</t>
        </is>
      </c>
      <c r="B254" s="26" t="inlineStr">
        <is>
          <t>tblLessons</t>
        </is>
      </c>
      <c r="C254" s="109" t="inlineStr">
        <is>
          <t>What Went Well</t>
        </is>
      </c>
      <c r="D254" s="110" t="inlineStr">
        <is>
          <t>wrap</t>
        </is>
      </c>
      <c r="E254" s="111" t="inlineStr">
        <is>
          <t>Input</t>
        </is>
      </c>
      <c r="F254" s="111" t="inlineStr"/>
      <c r="G254" s="111" t="inlineStr">
        <is>
          <t>Positive observation</t>
        </is>
      </c>
    </row>
    <row r="255" ht="15" customHeight="1">
      <c r="A255" s="26" t="inlineStr">
        <is>
          <t>20_LESSONS_LEARNED</t>
        </is>
      </c>
      <c r="B255" s="26" t="inlineStr">
        <is>
          <t>tblLessons</t>
        </is>
      </c>
      <c r="C255" s="109" t="inlineStr">
        <is>
          <t>What Went Wrong</t>
        </is>
      </c>
      <c r="D255" s="110" t="inlineStr">
        <is>
          <t>wrap</t>
        </is>
      </c>
      <c r="E255" s="111" t="inlineStr">
        <is>
          <t>Input</t>
        </is>
      </c>
      <c r="F255" s="111" t="inlineStr"/>
      <c r="G255" s="111" t="inlineStr">
        <is>
          <t>Negative observation</t>
        </is>
      </c>
    </row>
    <row r="256" ht="15" customHeight="1">
      <c r="A256" s="26" t="inlineStr">
        <is>
          <t>20_LESSONS_LEARNED</t>
        </is>
      </c>
      <c r="B256" s="26" t="inlineStr">
        <is>
          <t>tblLessons</t>
        </is>
      </c>
      <c r="C256" s="109" t="inlineStr">
        <is>
          <t>Root Cause</t>
        </is>
      </c>
      <c r="D256" s="110" t="inlineStr">
        <is>
          <t>wrap</t>
        </is>
      </c>
      <c r="E256" s="111" t="inlineStr">
        <is>
          <t>Input</t>
        </is>
      </c>
      <c r="F256" s="111" t="inlineStr"/>
      <c r="G256" s="111" t="inlineStr">
        <is>
          <t>Why it happened</t>
        </is>
      </c>
    </row>
    <row r="257" ht="15" customHeight="1">
      <c r="A257" s="26" t="inlineStr">
        <is>
          <t>20_LESSONS_LEARNED</t>
        </is>
      </c>
      <c r="B257" s="26" t="inlineStr">
        <is>
          <t>tblLessons</t>
        </is>
      </c>
      <c r="C257" s="109" t="inlineStr">
        <is>
          <t>Lesson</t>
        </is>
      </c>
      <c r="D257" s="110" t="inlineStr">
        <is>
          <t>wrap</t>
        </is>
      </c>
      <c r="E257" s="111" t="inlineStr">
        <is>
          <t>Input</t>
        </is>
      </c>
      <c r="F257" s="111" t="inlineStr"/>
      <c r="G257" s="111" t="inlineStr">
        <is>
          <t>What was learned</t>
        </is>
      </c>
    </row>
    <row r="258" ht="15" customHeight="1">
      <c r="A258" s="26" t="inlineStr">
        <is>
          <t>20_LESSONS_LEARNED</t>
        </is>
      </c>
      <c r="B258" s="26" t="inlineStr">
        <is>
          <t>tblLessons</t>
        </is>
      </c>
      <c r="C258" s="109" t="inlineStr">
        <is>
          <t>Recommendation</t>
        </is>
      </c>
      <c r="D258" s="110" t="inlineStr">
        <is>
          <t>wrap</t>
        </is>
      </c>
      <c r="E258" s="111" t="inlineStr">
        <is>
          <t>Input</t>
        </is>
      </c>
      <c r="F258" s="111" t="inlineStr"/>
      <c r="G258" s="111" t="inlineStr">
        <is>
          <t>Recommended change</t>
        </is>
      </c>
    </row>
    <row r="259" ht="15" customHeight="1">
      <c r="A259" s="26" t="inlineStr">
        <is>
          <t>20_LESSONS_LEARNED</t>
        </is>
      </c>
      <c r="B259" s="26" t="inlineStr">
        <is>
          <t>tblLessons</t>
        </is>
      </c>
      <c r="C259" s="109" t="inlineStr">
        <is>
          <t>Owner</t>
        </is>
      </c>
      <c r="D259" s="110" t="inlineStr">
        <is>
          <t>text</t>
        </is>
      </c>
      <c r="E259" s="111" t="inlineStr">
        <is>
          <t>Drop-down</t>
        </is>
      </c>
      <c r="F259" s="111" t="inlineStr">
        <is>
          <t>L_Owner</t>
        </is>
      </c>
      <c r="G259" s="111" t="inlineStr">
        <is>
          <t>Who owns the improvement</t>
        </is>
      </c>
    </row>
    <row r="260" ht="15" customHeight="1">
      <c r="A260" s="26" t="inlineStr">
        <is>
          <t>20_LESSONS_LEARNED</t>
        </is>
      </c>
      <c r="B260" s="26" t="inlineStr">
        <is>
          <t>tblLessons</t>
        </is>
      </c>
      <c r="C260" s="109" t="inlineStr">
        <is>
          <t>Action</t>
        </is>
      </c>
      <c r="D260" s="110" t="inlineStr">
        <is>
          <t>wrap</t>
        </is>
      </c>
      <c r="E260" s="111" t="inlineStr">
        <is>
          <t>Input</t>
        </is>
      </c>
      <c r="F260" s="111" t="inlineStr"/>
      <c r="G260" s="111" t="inlineStr">
        <is>
          <t>Action to implement</t>
        </is>
      </c>
    </row>
    <row r="261" ht="15" customHeight="1">
      <c r="A261" s="26" t="inlineStr">
        <is>
          <t>20_LESSONS_LEARNED</t>
        </is>
      </c>
      <c r="B261" s="26" t="inlineStr">
        <is>
          <t>tblLessons</t>
        </is>
      </c>
      <c r="C261" s="109" t="inlineStr">
        <is>
          <t>Status</t>
        </is>
      </c>
      <c r="D261" s="110" t="inlineStr">
        <is>
          <t>text</t>
        </is>
      </c>
      <c r="E261" s="111" t="inlineStr">
        <is>
          <t>Drop-down</t>
        </is>
      </c>
      <c r="F261" s="111" t="inlineStr">
        <is>
          <t>L_ActionStatus</t>
        </is>
      </c>
      <c r="G261" s="111" t="inlineStr">
        <is>
          <t>Status of the action</t>
        </is>
      </c>
    </row>
    <row r="262" ht="15" customHeight="1">
      <c r="A262" s="26" t="inlineStr">
        <is>
          <t>20_LESSONS_LEARNED</t>
        </is>
      </c>
      <c r="B262" s="26" t="inlineStr">
        <is>
          <t>tblLessons</t>
        </is>
      </c>
      <c r="C262" s="109" t="inlineStr">
        <is>
          <t>Notes</t>
        </is>
      </c>
      <c r="D262" s="110" t="inlineStr">
        <is>
          <t>wrap</t>
        </is>
      </c>
      <c r="E262" s="111" t="inlineStr">
        <is>
          <t>Input</t>
        </is>
      </c>
      <c r="F262" s="111" t="inlineStr"/>
      <c r="G262" s="111" t="inlineStr">
        <is>
          <t>Commentary / SAMPLE marker</t>
        </is>
      </c>
    </row>
    <row r="263" ht="15" customHeight="1">
      <c r="A263" s="26" t="inlineStr">
        <is>
          <t>22_30_60_90_PLAN</t>
        </is>
      </c>
      <c r="B263" s="26" t="inlineStr">
        <is>
          <t>tblPlan30</t>
        </is>
      </c>
      <c r="C263" s="109" t="inlineStr">
        <is>
          <t>Phase</t>
        </is>
      </c>
      <c r="D263" s="110" t="inlineStr">
        <is>
          <t>text</t>
        </is>
      </c>
      <c r="E263" s="111" t="inlineStr">
        <is>
          <t>Input</t>
        </is>
      </c>
      <c r="F263" s="111" t="inlineStr"/>
      <c r="G263" s="111" t="inlineStr">
        <is>
          <t>First 30 / 31-60 / 61-90 days</t>
        </is>
      </c>
    </row>
    <row r="264" ht="15" customHeight="1">
      <c r="A264" s="26" t="inlineStr">
        <is>
          <t>22_30_60_90_PLAN</t>
        </is>
      </c>
      <c r="B264" s="26" t="inlineStr">
        <is>
          <t>tblPlan30</t>
        </is>
      </c>
      <c r="C264" s="109" t="inlineStr">
        <is>
          <t>Focus Area</t>
        </is>
      </c>
      <c r="D264" s="110" t="inlineStr">
        <is>
          <t>text</t>
        </is>
      </c>
      <c r="E264" s="111" t="inlineStr">
        <is>
          <t>Input</t>
        </is>
      </c>
      <c r="F264" s="111" t="inlineStr"/>
      <c r="G264" s="111" t="inlineStr">
        <is>
          <t>Focus of the activity</t>
        </is>
      </c>
    </row>
    <row r="265" ht="15" customHeight="1">
      <c r="A265" s="26" t="inlineStr">
        <is>
          <t>22_30_60_90_PLAN</t>
        </is>
      </c>
      <c r="B265" s="26" t="inlineStr">
        <is>
          <t>tblPlan30</t>
        </is>
      </c>
      <c r="C265" s="109" t="inlineStr">
        <is>
          <t>Key Actions</t>
        </is>
      </c>
      <c r="D265" s="110" t="inlineStr">
        <is>
          <t>wrap</t>
        </is>
      </c>
      <c r="E265" s="111" t="inlineStr">
        <is>
          <t>Input</t>
        </is>
      </c>
      <c r="F265" s="111" t="inlineStr"/>
      <c r="G265" s="111" t="inlineStr">
        <is>
          <t>What to do</t>
        </is>
      </c>
    </row>
    <row r="266" ht="15" customHeight="1">
      <c r="A266" s="26" t="inlineStr">
        <is>
          <t>22_30_60_90_PLAN</t>
        </is>
      </c>
      <c r="B266" s="26" t="inlineStr">
        <is>
          <t>tblPlan30</t>
        </is>
      </c>
      <c r="C266" s="109" t="inlineStr">
        <is>
          <t>Deliverable</t>
        </is>
      </c>
      <c r="D266" s="110" t="inlineStr">
        <is>
          <t>wrap</t>
        </is>
      </c>
      <c r="E266" s="111" t="inlineStr">
        <is>
          <t>Input</t>
        </is>
      </c>
      <c r="F266" s="111" t="inlineStr"/>
      <c r="G266" s="111" t="inlineStr">
        <is>
          <t>What must exist afterwards</t>
        </is>
      </c>
    </row>
    <row r="267" ht="15" customHeight="1">
      <c r="A267" s="26" t="inlineStr">
        <is>
          <t>22_30_60_90_PLAN</t>
        </is>
      </c>
      <c r="B267" s="26" t="inlineStr">
        <is>
          <t>tblPlan30</t>
        </is>
      </c>
      <c r="C267" s="109" t="inlineStr">
        <is>
          <t>Success Measure</t>
        </is>
      </c>
      <c r="D267" s="110" t="inlineStr">
        <is>
          <t>wrap</t>
        </is>
      </c>
      <c r="E267" s="111" t="inlineStr">
        <is>
          <t>Input</t>
        </is>
      </c>
      <c r="F267" s="111" t="inlineStr"/>
      <c r="G267" s="111" t="inlineStr">
        <is>
          <t>How success is measured</t>
        </is>
      </c>
    </row>
    <row r="268" ht="15" customHeight="1">
      <c r="A268" s="26" t="inlineStr">
        <is>
          <t>22_30_60_90_PLAN</t>
        </is>
      </c>
      <c r="B268" s="26" t="inlineStr">
        <is>
          <t>tblPlan30</t>
        </is>
      </c>
      <c r="C268" s="109" t="inlineStr">
        <is>
          <t>Owner</t>
        </is>
      </c>
      <c r="D268" s="110" t="inlineStr">
        <is>
          <t>text</t>
        </is>
      </c>
      <c r="E268" s="111" t="inlineStr">
        <is>
          <t>Drop-down</t>
        </is>
      </c>
      <c r="F268" s="111" t="inlineStr">
        <is>
          <t>L_Owner</t>
        </is>
      </c>
      <c r="G268" s="111" t="inlineStr">
        <is>
          <t>Owner</t>
        </is>
      </c>
    </row>
    <row r="269" ht="15" customHeight="1">
      <c r="A269" s="26" t="inlineStr">
        <is>
          <t>22_30_60_90_PLAN</t>
        </is>
      </c>
      <c r="B269" s="26" t="inlineStr">
        <is>
          <t>tblPlan30</t>
        </is>
      </c>
      <c r="C269" s="109" t="inlineStr">
        <is>
          <t>Target Date</t>
        </is>
      </c>
      <c r="D269" s="110" t="inlineStr">
        <is>
          <t>date</t>
        </is>
      </c>
      <c r="E269" s="111" t="inlineStr">
        <is>
          <t>Input</t>
        </is>
      </c>
      <c r="F269" s="111" t="inlineStr"/>
      <c r="G269" s="111" t="inlineStr">
        <is>
          <t>Target completion date</t>
        </is>
      </c>
    </row>
    <row r="270" ht="15" customHeight="1">
      <c r="A270" s="26" t="inlineStr">
        <is>
          <t>22_30_60_90_PLAN</t>
        </is>
      </c>
      <c r="B270" s="26" t="inlineStr">
        <is>
          <t>tblPlan30</t>
        </is>
      </c>
      <c r="C270" s="109" t="inlineStr">
        <is>
          <t>Status</t>
        </is>
      </c>
      <c r="D270" s="110" t="inlineStr">
        <is>
          <t>text</t>
        </is>
      </c>
      <c r="E270" s="111" t="inlineStr">
        <is>
          <t>Drop-down</t>
        </is>
      </c>
      <c r="F270" s="111" t="inlineStr">
        <is>
          <t>L_ActionStatus</t>
        </is>
      </c>
      <c r="G270" s="111" t="inlineStr">
        <is>
          <t>Status</t>
        </is>
      </c>
    </row>
    <row r="271" ht="15" customHeight="1">
      <c r="A271" s="26" t="inlineStr">
        <is>
          <t>22_30_60_90_PLAN</t>
        </is>
      </c>
      <c r="B271" s="26" t="inlineStr">
        <is>
          <t>tblPlan30</t>
        </is>
      </c>
      <c r="C271" s="109" t="inlineStr">
        <is>
          <t>Notes</t>
        </is>
      </c>
      <c r="D271" s="110" t="inlineStr">
        <is>
          <t>wrap</t>
        </is>
      </c>
      <c r="E271" s="111" t="inlineStr">
        <is>
          <t>Input</t>
        </is>
      </c>
      <c r="F271" s="111" t="inlineStr"/>
      <c r="G271" s="111" t="inlineStr">
        <is>
          <t>Commentary</t>
        </is>
      </c>
    </row>
  </sheetData>
  <mergeCells count="3">
    <mergeCell ref="A3:G3"/>
    <mergeCell ref="A2:G2"/>
    <mergeCell ref="A1:G1"/>
  </mergeCells>
  <conditionalFormatting sqref="E5:E271">
    <cfRule type="expression" priority="1" dxfId="14" stopIfTrue="1">
      <formula>EXACT($E5,"Drop-down")</formula>
    </cfRule>
    <cfRule type="expression" priority="2" dxfId="15" stopIfTrue="1">
      <formula>EXACT($E5,"Calculated")</formula>
    </cfRule>
  </conditionalFormatting>
  <pageMargins left="0.3" right="0.3" top="0.45" bottom="0.45" header="0.2" footer="0.25"/>
  <pageSetup orientation="landscape" fitToHeight="0" fitToWidth="1"/>
  <headerFooter>
    <oddHeader/>
    <oddFooter>&amp;L&amp;8 &amp;K808080Assistant PMO Management System&amp;R&amp;8 &amp;K808080&amp;A  |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2026-10-08T21:43:19Z</dcterms:created>
  <dcterms:modified xsi:type="dcterms:W3CDTF">2026-10-08T21:43:57Z</dcterms:modified>
</cp:coreProperties>
</file>